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20115" windowHeight="7620"/>
  </bookViews>
  <sheets>
    <sheet name="python" sheetId="1" r:id="rId1"/>
    <sheet name="CO-attainment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AI28" i="1" l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55" i="1"/>
  <c r="AI56" i="1"/>
  <c r="AI57" i="1"/>
  <c r="AI58" i="1"/>
  <c r="AI59" i="1"/>
  <c r="AI61" i="1"/>
  <c r="AI62" i="1"/>
  <c r="AI63" i="1"/>
  <c r="AI64" i="1"/>
  <c r="AI65" i="1"/>
  <c r="AI67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13" i="1"/>
  <c r="N14" i="1" l="1"/>
  <c r="N15" i="1"/>
  <c r="N16" i="1"/>
  <c r="N17" i="1"/>
  <c r="N18" i="1"/>
  <c r="N19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13" i="1"/>
  <c r="F36" i="2" l="1"/>
  <c r="F44" i="2"/>
  <c r="D11" i="3" l="1"/>
  <c r="H11" i="3"/>
  <c r="L11" i="3"/>
  <c r="F7" i="3"/>
  <c r="G7" i="3"/>
  <c r="E11" i="3" s="1"/>
  <c r="H7" i="3"/>
  <c r="F11" i="3" s="1"/>
  <c r="I7" i="3"/>
  <c r="G11" i="3" s="1"/>
  <c r="J7" i="3"/>
  <c r="K7" i="3"/>
  <c r="I11" i="3" s="1"/>
  <c r="L7" i="3"/>
  <c r="J11" i="3" s="1"/>
  <c r="M7" i="3"/>
  <c r="K11" i="3" s="1"/>
  <c r="N7" i="3"/>
  <c r="O2" i="3"/>
  <c r="O7" i="3" s="1"/>
  <c r="M11" i="3" s="1"/>
  <c r="F60" i="4"/>
  <c r="G60" i="4"/>
  <c r="H60" i="4"/>
  <c r="E60" i="4"/>
  <c r="D60" i="4"/>
  <c r="E7" i="3" l="1"/>
  <c r="C11" i="3" s="1"/>
  <c r="D7" i="3"/>
  <c r="B11" i="3" s="1"/>
  <c r="L25" i="2"/>
  <c r="F26" i="2" l="1"/>
  <c r="F54" i="2"/>
  <c r="L27" i="2"/>
  <c r="J25" i="2"/>
  <c r="J27" i="2" s="1"/>
  <c r="E13" i="2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O92" i="1"/>
  <c r="M92" i="1"/>
  <c r="L92" i="1"/>
  <c r="K92" i="1"/>
  <c r="J92" i="1"/>
  <c r="I92" i="1"/>
  <c r="H92" i="1"/>
  <c r="G92" i="1"/>
  <c r="F92" i="1"/>
  <c r="E92" i="1"/>
  <c r="AI90" i="1"/>
  <c r="N90" i="1"/>
  <c r="AI89" i="1"/>
  <c r="N89" i="1"/>
  <c r="AK88" i="1"/>
  <c r="AK87" i="1"/>
  <c r="AK86" i="1"/>
  <c r="AK85" i="1"/>
  <c r="AK84" i="1"/>
  <c r="AK83" i="1"/>
  <c r="AK82" i="1"/>
  <c r="AK81" i="1"/>
  <c r="AK80" i="1"/>
  <c r="AK79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H10" i="1"/>
  <c r="AH93" i="1" s="1"/>
  <c r="AG10" i="1"/>
  <c r="AG93" i="1" s="1"/>
  <c r="AF10" i="1"/>
  <c r="AF93" i="1" s="1"/>
  <c r="AE10" i="1"/>
  <c r="AE93" i="1" s="1"/>
  <c r="AD10" i="1"/>
  <c r="AD93" i="1" s="1"/>
  <c r="AC10" i="1"/>
  <c r="AC93" i="1" s="1"/>
  <c r="AB10" i="1"/>
  <c r="AB93" i="1" s="1"/>
  <c r="AA10" i="1"/>
  <c r="AA93" i="1" s="1"/>
  <c r="Z10" i="1"/>
  <c r="Z93" i="1" s="1"/>
  <c r="Y10" i="1"/>
  <c r="Y93" i="1" s="1"/>
  <c r="X10" i="1"/>
  <c r="X93" i="1" s="1"/>
  <c r="W10" i="1"/>
  <c r="W93" i="1" s="1"/>
  <c r="V10" i="1"/>
  <c r="V93" i="1" s="1"/>
  <c r="U10" i="1"/>
  <c r="U93" i="1" s="1"/>
  <c r="T10" i="1"/>
  <c r="T93" i="1" s="1"/>
  <c r="S10" i="1"/>
  <c r="S93" i="1" s="1"/>
  <c r="R10" i="1"/>
  <c r="R93" i="1" s="1"/>
  <c r="Q10" i="1"/>
  <c r="Q93" i="1" s="1"/>
  <c r="P10" i="1"/>
  <c r="O10" i="1"/>
  <c r="O93" i="1" s="1"/>
  <c r="M10" i="1"/>
  <c r="M93" i="1" s="1"/>
  <c r="L10" i="1"/>
  <c r="L93" i="1" s="1"/>
  <c r="K10" i="1"/>
  <c r="K93" i="1" s="1"/>
  <c r="J10" i="1"/>
  <c r="J93" i="1" s="1"/>
  <c r="I10" i="1"/>
  <c r="I93" i="1" s="1"/>
  <c r="H10" i="1"/>
  <c r="H93" i="1" s="1"/>
  <c r="G10" i="1"/>
  <c r="G93" i="1" s="1"/>
  <c r="F10" i="1"/>
  <c r="F93" i="1" s="1"/>
  <c r="E10" i="1"/>
  <c r="E93" i="1" s="1"/>
  <c r="P92" i="1" l="1"/>
  <c r="L95" i="1"/>
  <c r="L96" i="1" s="1"/>
  <c r="Q95" i="1"/>
  <c r="AC95" i="1"/>
  <c r="P93" i="1"/>
  <c r="P95" i="1" s="1"/>
  <c r="P96" i="1" s="1"/>
  <c r="H95" i="1"/>
  <c r="H96" i="1" s="1"/>
  <c r="U95" i="1"/>
  <c r="AG95" i="1"/>
  <c r="F95" i="1"/>
  <c r="F96" i="1" s="1"/>
  <c r="J95" i="1"/>
  <c r="J96" i="1" s="1"/>
  <c r="R95" i="1"/>
  <c r="V95" i="1"/>
  <c r="Z95" i="1"/>
  <c r="AD95" i="1"/>
  <c r="AH95" i="1"/>
  <c r="O95" i="1"/>
  <c r="O96" i="1" s="1"/>
  <c r="AE95" i="1"/>
  <c r="K95" i="1"/>
  <c r="K96" i="1" s="1"/>
  <c r="T95" i="1"/>
  <c r="X95" i="1"/>
  <c r="AB95" i="1"/>
  <c r="AF95" i="1"/>
  <c r="E95" i="1"/>
  <c r="E96" i="1" s="1"/>
  <c r="I95" i="1"/>
  <c r="I96" i="1" s="1"/>
  <c r="M95" i="1"/>
  <c r="M96" i="1" s="1"/>
  <c r="N92" i="1"/>
  <c r="G95" i="1"/>
  <c r="G96" i="1" s="1"/>
  <c r="W95" i="1"/>
  <c r="Y95" i="1"/>
  <c r="S95" i="1"/>
  <c r="AA95" i="1"/>
  <c r="J29" i="2"/>
</calcChain>
</file>

<file path=xl/sharedStrings.xml><?xml version="1.0" encoding="utf-8"?>
<sst xmlns="http://schemas.openxmlformats.org/spreadsheetml/2006/main" count="594" uniqueCount="343">
  <si>
    <t>DAV University, Jalandhar</t>
  </si>
  <si>
    <t>Department of Computer Science &amp; Engineering</t>
  </si>
  <si>
    <t>CO Attainment Cummulative</t>
  </si>
  <si>
    <t>Program : B.Tech CSE</t>
  </si>
  <si>
    <t>CO's</t>
  </si>
  <si>
    <t>CO1</t>
  </si>
  <si>
    <t>CO2</t>
  </si>
  <si>
    <t>CO3</t>
  </si>
  <si>
    <t>CO4</t>
  </si>
  <si>
    <t>CO5</t>
  </si>
  <si>
    <t>PO's</t>
  </si>
  <si>
    <t>MSE</t>
  </si>
  <si>
    <t>Total</t>
  </si>
  <si>
    <t>Assignment</t>
  </si>
  <si>
    <t>Quiz</t>
  </si>
  <si>
    <t>ESE</t>
  </si>
  <si>
    <t>Questions</t>
  </si>
  <si>
    <t>Q.1</t>
  </si>
  <si>
    <t>Q.2</t>
  </si>
  <si>
    <t>Q.3</t>
  </si>
  <si>
    <t>Q.4</t>
  </si>
  <si>
    <t>Q.5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</si>
  <si>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</si>
  <si>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</si>
  <si>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</si>
  <si>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</si>
  <si>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</si>
  <si>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</si>
  <si>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</si>
  <si>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</si>
  <si>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</si>
  <si>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i.</t>
  </si>
  <si>
    <t>ii.</t>
  </si>
  <si>
    <t>iii</t>
  </si>
  <si>
    <t>iv</t>
  </si>
  <si>
    <t>v.</t>
  </si>
  <si>
    <t>iii.</t>
  </si>
  <si>
    <t>iv.</t>
  </si>
  <si>
    <t>vi</t>
  </si>
  <si>
    <t>vii</t>
  </si>
  <si>
    <t>viii</t>
  </si>
  <si>
    <t>ix</t>
  </si>
  <si>
    <t>x</t>
  </si>
  <si>
    <t>50% of Marks Allocated</t>
  </si>
  <si>
    <t>Marks allotted</t>
  </si>
  <si>
    <t>StudentName</t>
  </si>
  <si>
    <t>RegdNo</t>
  </si>
  <si>
    <t>JASKARAN SINGH</t>
  </si>
  <si>
    <t>JAISMEEN KAUR</t>
  </si>
  <si>
    <t>A</t>
  </si>
  <si>
    <t>12101329</t>
  </si>
  <si>
    <t>Number of Students who attempted</t>
  </si>
  <si>
    <t>Number of Students who scored &gt;= 50% of MAX Marks in Each Questions</t>
  </si>
  <si>
    <t>% of Students who scored &gt;=50%</t>
  </si>
  <si>
    <t>Attainment Level</t>
  </si>
  <si>
    <t>Attainment Levels</t>
  </si>
  <si>
    <t>50.1% to 60%</t>
  </si>
  <si>
    <t>60.1% to 70%</t>
  </si>
  <si>
    <t>70.1% and above</t>
  </si>
  <si>
    <t>50% and Less</t>
  </si>
  <si>
    <t>ATTAINMENT OF CO1</t>
  </si>
  <si>
    <t>Course Outcomes:</t>
  </si>
  <si>
    <t xml:space="preserve">CO </t>
  </si>
  <si>
    <t>Type of Assessment</t>
  </si>
  <si>
    <t>Question Number</t>
  </si>
  <si>
    <t>CO Number</t>
  </si>
  <si>
    <t>CO Description</t>
  </si>
  <si>
    <t>Net Attainment of CO1</t>
  </si>
  <si>
    <t>CO ATTAINMENT</t>
  </si>
  <si>
    <t>ATTAINMENT OF CO2</t>
  </si>
  <si>
    <t>Particulars</t>
  </si>
  <si>
    <t>Direct Attainment</t>
  </si>
  <si>
    <t>Indirect Attainment</t>
  </si>
  <si>
    <t>CO</t>
  </si>
  <si>
    <t>Q1.</t>
  </si>
  <si>
    <t>C03</t>
  </si>
  <si>
    <t>AVERAGE</t>
  </si>
  <si>
    <t>Net Attainment of CO2</t>
  </si>
  <si>
    <t>Weightage</t>
  </si>
  <si>
    <t>ATTAINMENT OF CO3</t>
  </si>
  <si>
    <t>Att</t>
  </si>
  <si>
    <t>Final att</t>
  </si>
  <si>
    <t>Net Attainment of CO3</t>
  </si>
  <si>
    <t>ATTAINMENT OF CO4</t>
  </si>
  <si>
    <t>Net Attainment of CO4</t>
  </si>
  <si>
    <t>ATTAINMENT OF CO5</t>
  </si>
  <si>
    <t>Net Attainment of CO5</t>
  </si>
  <si>
    <t>Plan a software engineering development process life cycle , including the specification, design, implementation, and testing of software systems that meet specification, performance, maintenance and quality requirements</t>
  </si>
  <si>
    <t>Able to elicit, analyze and specify software requirements through a productive working relationship with various stakeholders of the project and Know how to plan project management.</t>
  </si>
  <si>
    <t>Analyze and translate a specification into a design, and then realize that design practically, using an appropriate software engineering methodology.</t>
  </si>
  <si>
    <t>Know how to develop the code from the design and effectively apply relevant standards and perform testing, and quality management and practice.</t>
  </si>
  <si>
    <t>know how to manage the risks, ensures quality management and able to manage modern engineering tools.</t>
  </si>
  <si>
    <t>CO-PO Mapping</t>
  </si>
  <si>
    <t>PO-1</t>
  </si>
  <si>
    <t>PO-2</t>
  </si>
  <si>
    <t>PO-3</t>
  </si>
  <si>
    <t>PO-4</t>
  </si>
  <si>
    <t>PO-5</t>
  </si>
  <si>
    <t>PO-6</t>
  </si>
  <si>
    <t>PO-7</t>
  </si>
  <si>
    <t>Average</t>
  </si>
  <si>
    <t>PO/PSO ATTAINMENT= (CO-PO-PSO AVERAGE/3)*CO ATTAINMENT</t>
  </si>
  <si>
    <t>Direct PO/PSO Att</t>
  </si>
  <si>
    <t>PO1</t>
  </si>
  <si>
    <t>PO2</t>
  </si>
  <si>
    <t>PO3</t>
  </si>
  <si>
    <t>PO4</t>
  </si>
  <si>
    <t>PO5</t>
  </si>
  <si>
    <t>PO6</t>
  </si>
  <si>
    <t>PO7</t>
  </si>
  <si>
    <t>S.No.</t>
  </si>
  <si>
    <t>Registration Number</t>
  </si>
  <si>
    <t>Student Name</t>
  </si>
  <si>
    <t>Priya Thakur</t>
  </si>
  <si>
    <t>Gaurav singh</t>
  </si>
  <si>
    <t>Gurjot singh</t>
  </si>
  <si>
    <t>MANISH</t>
  </si>
  <si>
    <t>Varun Kumar</t>
  </si>
  <si>
    <t>Isha multani</t>
  </si>
  <si>
    <t>Vishal</t>
  </si>
  <si>
    <t>Harkamal</t>
  </si>
  <si>
    <t>Kanak Priya</t>
  </si>
  <si>
    <t>Novejit Kaur Mathon</t>
  </si>
  <si>
    <t>Akhil Sharma</t>
  </si>
  <si>
    <t>Jaskaran Singh</t>
  </si>
  <si>
    <t>Sukhpreet Singh</t>
  </si>
  <si>
    <t>Vikas</t>
  </si>
  <si>
    <t>Manpreet Singh</t>
  </si>
  <si>
    <t>Abhey Dadwal</t>
  </si>
  <si>
    <t>Shuvam Jaswal</t>
  </si>
  <si>
    <t>Amarjeet Aryan</t>
  </si>
  <si>
    <t>Sandeep Kumar</t>
  </si>
  <si>
    <t>Avneet kaur</t>
  </si>
  <si>
    <t>Sonia</t>
  </si>
  <si>
    <t>Punkurhi Marwaha</t>
  </si>
  <si>
    <t>Dpinder Mahay</t>
  </si>
  <si>
    <t>Priya</t>
  </si>
  <si>
    <t>imranansaripb7@gmail.com</t>
  </si>
  <si>
    <t>Sunaina</t>
  </si>
  <si>
    <t>Arjun</t>
  </si>
  <si>
    <t>Gaganpreet Kaur</t>
  </si>
  <si>
    <t>Mukul Sharma</t>
  </si>
  <si>
    <t>Sushrut Sharma</t>
  </si>
  <si>
    <t>Arshdeep Kaur</t>
  </si>
  <si>
    <t>Hritik kumar</t>
  </si>
  <si>
    <t>Gagnish</t>
  </si>
  <si>
    <t>Neharika Thakur</t>
  </si>
  <si>
    <t>Krishan Mohan Singh</t>
  </si>
  <si>
    <t>Karanveer mohan</t>
  </si>
  <si>
    <t>Sagar Kalia</t>
  </si>
  <si>
    <t>Meenakshi</t>
  </si>
  <si>
    <t>Joginder Kumar</t>
  </si>
  <si>
    <t>Aayush Rajan</t>
  </si>
  <si>
    <t>Rakshita Kumari</t>
  </si>
  <si>
    <t>Mukul</t>
  </si>
  <si>
    <t>Sudhir Gupta</t>
  </si>
  <si>
    <t>Pawan Kumar</t>
  </si>
  <si>
    <t>Sukhsimrandeep Singh</t>
  </si>
  <si>
    <t>Vinay Katoch</t>
  </si>
  <si>
    <t>Khushboo</t>
  </si>
  <si>
    <t>Ritika</t>
  </si>
  <si>
    <t>Tarun Kashyap</t>
  </si>
  <si>
    <t>Megha</t>
  </si>
  <si>
    <t>Anurodh</t>
  </si>
  <si>
    <t>Dinkle Garg</t>
  </si>
  <si>
    <t>Hartik chandan</t>
  </si>
  <si>
    <t>Satvir</t>
  </si>
  <si>
    <t>PO-8</t>
  </si>
  <si>
    <t>PO-9</t>
  </si>
  <si>
    <t>PO-10</t>
  </si>
  <si>
    <t>PO-11</t>
  </si>
  <si>
    <t>PO-12</t>
  </si>
  <si>
    <t>-</t>
  </si>
  <si>
    <t>PO8</t>
  </si>
  <si>
    <t>PO9</t>
  </si>
  <si>
    <t>PO10</t>
  </si>
  <si>
    <t>PO11</t>
  </si>
  <si>
    <t>i</t>
  </si>
  <si>
    <t>ii</t>
  </si>
  <si>
    <t>V</t>
  </si>
  <si>
    <t>Explain environment, data types and operators used in python.</t>
  </si>
  <si>
    <t>Understand the concepts, methods and   techniques of Python.</t>
  </si>
  <si>
    <t>Design user defined functions, modules and packages.</t>
  </si>
  <si>
    <t>Apply suitable program constructs and built-in data structures to solve a problem.</t>
  </si>
  <si>
    <t>Identify and handle the exceptions in program through appropriate exceptions handling methods.</t>
  </si>
  <si>
    <t>MUSKAN</t>
  </si>
  <si>
    <t>12100103</t>
  </si>
  <si>
    <t>AYUSH KATOCH</t>
  </si>
  <si>
    <t>12100107</t>
  </si>
  <si>
    <t>SUKHNEEK SINGH</t>
  </si>
  <si>
    <t>12100160</t>
  </si>
  <si>
    <t>AYUSH SHARMA</t>
  </si>
  <si>
    <t>12100182</t>
  </si>
  <si>
    <t>PARNEET KAUR</t>
  </si>
  <si>
    <t>12100196</t>
  </si>
  <si>
    <t>KARANDEEP SINGH</t>
  </si>
  <si>
    <t>12100200</t>
  </si>
  <si>
    <t>PRABHJOT KAUR</t>
  </si>
  <si>
    <t>12100206</t>
  </si>
  <si>
    <t>VAIBHAV SHRIVASTAV</t>
  </si>
  <si>
    <t>12100207</t>
  </si>
  <si>
    <t>VARANDEEP SINGH GHOTRA</t>
  </si>
  <si>
    <t>12100208</t>
  </si>
  <si>
    <t>ARUNDEEP KAUR</t>
  </si>
  <si>
    <t>12100209</t>
  </si>
  <si>
    <t>SIMRAN KAUR</t>
  </si>
  <si>
    <t>12100245</t>
  </si>
  <si>
    <t>NAVJOT KAUR</t>
  </si>
  <si>
    <t>12100254</t>
  </si>
  <si>
    <t>KUMARI RAGINI</t>
  </si>
  <si>
    <t>12100259</t>
  </si>
  <si>
    <t>SONAM KUMARI</t>
  </si>
  <si>
    <t>12100261</t>
  </si>
  <si>
    <t>ANURAG GHAI</t>
  </si>
  <si>
    <t>12100262</t>
  </si>
  <si>
    <t>MANISH RANA</t>
  </si>
  <si>
    <t>12100360</t>
  </si>
  <si>
    <t>RAMANPRIT KAUR</t>
  </si>
  <si>
    <t>12100380</t>
  </si>
  <si>
    <t>AYUSH</t>
  </si>
  <si>
    <t>12100402</t>
  </si>
  <si>
    <t>SAHIL</t>
  </si>
  <si>
    <t>12100413</t>
  </si>
  <si>
    <t>SAURABH SHEKHAR</t>
  </si>
  <si>
    <t>12100424</t>
  </si>
  <si>
    <t>MANAS RAJHANS</t>
  </si>
  <si>
    <t>12100426</t>
  </si>
  <si>
    <t>ADITYA VERMA</t>
  </si>
  <si>
    <t>12100427</t>
  </si>
  <si>
    <t>AVINASH KUMAR</t>
  </si>
  <si>
    <t>12100429</t>
  </si>
  <si>
    <t>SUMANT KUMAR PUSHPAKAR</t>
  </si>
  <si>
    <t>12100451</t>
  </si>
  <si>
    <t>SIDDHARTH SHEKHER</t>
  </si>
  <si>
    <t>12100453</t>
  </si>
  <si>
    <t>RASALU</t>
  </si>
  <si>
    <t>12100463</t>
  </si>
  <si>
    <t>LOVEJEET SINGH</t>
  </si>
  <si>
    <t>12100531</t>
  </si>
  <si>
    <t>ARCHANA GUPTA</t>
  </si>
  <si>
    <t>12100555</t>
  </si>
  <si>
    <t>RAHUL MANHAS</t>
  </si>
  <si>
    <t>12100564</t>
  </si>
  <si>
    <t>VISHAL CHOUDHARY</t>
  </si>
  <si>
    <t>12100576</t>
  </si>
  <si>
    <t>GIRIK</t>
  </si>
  <si>
    <t>12100653</t>
  </si>
  <si>
    <t>PRAJWAL SHARMA</t>
  </si>
  <si>
    <t>12100655</t>
  </si>
  <si>
    <t>ADITYA SHARMA</t>
  </si>
  <si>
    <t>12100656</t>
  </si>
  <si>
    <t>ADITYA MANHAS</t>
  </si>
  <si>
    <t>12100667</t>
  </si>
  <si>
    <t xml:space="preserve">LOVEPREET </t>
  </si>
  <si>
    <t>12100670</t>
  </si>
  <si>
    <t>SHAGUN RANA</t>
  </si>
  <si>
    <t>12100678</t>
  </si>
  <si>
    <t>ARYAN CHADHA</t>
  </si>
  <si>
    <t>12100690</t>
  </si>
  <si>
    <t>AVNI</t>
  </si>
  <si>
    <t>12100120</t>
  </si>
  <si>
    <t>JANVI PANDIT</t>
  </si>
  <si>
    <t>12100639</t>
  </si>
  <si>
    <t>AQIB ALTAF</t>
  </si>
  <si>
    <t>12100692</t>
  </si>
  <si>
    <t>MANJIT SINGH</t>
  </si>
  <si>
    <t>12100703</t>
  </si>
  <si>
    <t>AKRITI</t>
  </si>
  <si>
    <t>12100723</t>
  </si>
  <si>
    <t>KANCHAN</t>
  </si>
  <si>
    <t>12100732</t>
  </si>
  <si>
    <t xml:space="preserve">ANURAG THAKUR  </t>
  </si>
  <si>
    <t>12100809</t>
  </si>
  <si>
    <t xml:space="preserve">ANSH THAKUR  </t>
  </si>
  <si>
    <t>12100810</t>
  </si>
  <si>
    <t>12100838</t>
  </si>
  <si>
    <t>SUMIT KUMAR</t>
  </si>
  <si>
    <t>12100881</t>
  </si>
  <si>
    <t>12100886</t>
  </si>
  <si>
    <t>ABHAY SINGH</t>
  </si>
  <si>
    <t>12100936</t>
  </si>
  <si>
    <t>ROHAN VERMA</t>
  </si>
  <si>
    <t>12100945</t>
  </si>
  <si>
    <t>JASMEEN TANDON</t>
  </si>
  <si>
    <t>12100946</t>
  </si>
  <si>
    <t>ANJU</t>
  </si>
  <si>
    <t>12100963</t>
  </si>
  <si>
    <t>AMIT SHARMA</t>
  </si>
  <si>
    <t>12100992</t>
  </si>
  <si>
    <t>RANVEER KUMAR</t>
  </si>
  <si>
    <t>12101038</t>
  </si>
  <si>
    <t>KHUSHI</t>
  </si>
  <si>
    <t>12101049</t>
  </si>
  <si>
    <t>SHARANJIT KAUR</t>
  </si>
  <si>
    <t>12101099</t>
  </si>
  <si>
    <t>SHRANT SHARMA</t>
  </si>
  <si>
    <t>12101135</t>
  </si>
  <si>
    <t>SHUBHAM THAKUR</t>
  </si>
  <si>
    <t>12101173</t>
  </si>
  <si>
    <t>AMAN KUMAR SINGH</t>
  </si>
  <si>
    <t>12101189</t>
  </si>
  <si>
    <t>YUVRAJ SINGH</t>
  </si>
  <si>
    <t>12101213</t>
  </si>
  <si>
    <t>ANMOL SHARMA</t>
  </si>
  <si>
    <t>12101227</t>
  </si>
  <si>
    <t>VIKAS SINGH</t>
  </si>
  <si>
    <t>12101251</t>
  </si>
  <si>
    <t>SUKRIT SHARMA</t>
  </si>
  <si>
    <t>12101278</t>
  </si>
  <si>
    <t>GURBAKSH SINGH</t>
  </si>
  <si>
    <t>12101311</t>
  </si>
  <si>
    <t>ANKIT CHANYAL</t>
  </si>
  <si>
    <t>12101336</t>
  </si>
  <si>
    <t>DINESH NARYAL</t>
  </si>
  <si>
    <t>12101341</t>
  </si>
  <si>
    <t>TANVEER SINGH</t>
  </si>
  <si>
    <t>12101350</t>
  </si>
  <si>
    <t>SUKHJEEVAN KAUR</t>
  </si>
  <si>
    <t>12101374</t>
  </si>
  <si>
    <t>JARMANJEET SINGH</t>
  </si>
  <si>
    <t>12101376</t>
  </si>
  <si>
    <t>SIMRANJIT KAUR</t>
  </si>
  <si>
    <t>12101378</t>
  </si>
  <si>
    <t>ARYAN SHARMA</t>
  </si>
  <si>
    <t>12101401</t>
  </si>
  <si>
    <t>AANCHAL</t>
  </si>
  <si>
    <t>12101429</t>
  </si>
  <si>
    <t>JATIN MALHOTRA</t>
  </si>
  <si>
    <t>12101451</t>
  </si>
  <si>
    <t>JASLEEN KAUR</t>
  </si>
  <si>
    <t>12101474</t>
  </si>
  <si>
    <t>MRIDUL</t>
  </si>
  <si>
    <t>12101482</t>
  </si>
  <si>
    <t>VANSH KANUNGO</t>
  </si>
  <si>
    <t>12201346</t>
  </si>
  <si>
    <t>Akash gill</t>
  </si>
  <si>
    <t xml:space="preserve">Faculty Name: </t>
  </si>
  <si>
    <t>Course Name: Data Mining</t>
  </si>
  <si>
    <t>Course Code:CSE312A</t>
  </si>
  <si>
    <t>CO2/4</t>
  </si>
  <si>
    <t>a</t>
  </si>
  <si>
    <t>AB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</si>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</sst>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1"/>
      <color theme="5"/>
      <name val="Cambria"/>
      <family val="1"/>
    </font>
    <font>
      <sz val="11"/>
      <color theme="5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2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>
      <alignment vertical="top"/>
      <protection locked="0"/>
    </xf>
    <xf numFmtId="0" fontId="1" fillId="2" borderId="1" xfId="0" applyFont="1" applyFill="1" applyBorder="1"/>
    <xf numFmtId="0" fontId="0" fillId="0" borderId="0" xfId="0" applyAlignment="1"/>
    <xf numFmtId="0" fontId="1" fillId="0" borderId="1" xfId="0" applyFont="1" applyBorder="1"/>
    <xf numFmtId="2" fontId="0" fillId="0" borderId="0" xfId="0" applyNumberFormat="1"/>
    <xf numFmtId="0" fontId="2" fillId="0" borderId="0" xfId="0" applyFont="1"/>
    <xf numFmtId="0" fontId="8" fillId="0" borderId="0" xfId="0" applyFont="1" applyBorder="1" applyAlignment="1">
      <alignment horizontal="center"/>
    </xf>
    <xf numFmtId="0" fontId="9" fillId="0" borderId="0" xfId="0" applyFont="1" applyAlignment="1"/>
    <xf numFmtId="0" fontId="8" fillId="0" borderId="0" xfId="0" applyFont="1" applyAlignme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/>
    <xf numFmtId="0" fontId="9" fillId="0" borderId="0" xfId="0" applyFont="1" applyBorder="1" applyAlignme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/>
    <xf numFmtId="0" fontId="9" fillId="0" borderId="2" xfId="0" applyFont="1" applyBorder="1" applyAlignment="1"/>
    <xf numFmtId="0" fontId="10" fillId="0" borderId="2" xfId="0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/>
    <xf numFmtId="0" fontId="11" fillId="0" borderId="0" xfId="0" applyFont="1"/>
    <xf numFmtId="0" fontId="10" fillId="0" borderId="0" xfId="0" applyFont="1" applyFill="1" applyBorder="1" applyAlignment="1"/>
    <xf numFmtId="0" fontId="9" fillId="3" borderId="1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8" fillId="0" borderId="1" xfId="0" applyFont="1" applyBorder="1" applyAlignment="1"/>
    <xf numFmtId="0" fontId="0" fillId="0" borderId="1" xfId="0" applyBorder="1"/>
    <xf numFmtId="0" fontId="11" fillId="0" borderId="1" xfId="0" applyFon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0" fontId="9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9" fillId="2" borderId="1" xfId="0" applyFont="1" applyFill="1" applyBorder="1" applyAlignment="1"/>
    <xf numFmtId="0" fontId="9" fillId="0" borderId="4" xfId="0" applyFont="1" applyBorder="1" applyAlignment="1"/>
    <xf numFmtId="0" fontId="9" fillId="3" borderId="2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/>
    <xf numFmtId="0" fontId="3" fillId="2" borderId="1" xfId="0" applyFont="1" applyFill="1" applyBorder="1"/>
    <xf numFmtId="0" fontId="0" fillId="2" borderId="1" xfId="0" applyFill="1" applyBorder="1"/>
    <xf numFmtId="0" fontId="11" fillId="0" borderId="3" xfId="0" applyFont="1" applyFill="1" applyBorder="1"/>
    <xf numFmtId="0" fontId="11" fillId="0" borderId="3" xfId="0" applyFont="1" applyBorder="1"/>
    <xf numFmtId="0" fontId="16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4" fontId="9" fillId="0" borderId="1" xfId="0" applyNumberFormat="1" applyFont="1" applyBorder="1" applyAlignment="1"/>
    <xf numFmtId="0" fontId="0" fillId="0" borderId="0" xfId="0" applyBorder="1"/>
    <xf numFmtId="164" fontId="18" fillId="0" borderId="1" xfId="1" applyNumberFormat="1" applyFont="1" applyBorder="1" applyAlignment="1">
      <alignment horizontal="center" vertical="top"/>
    </xf>
    <xf numFmtId="164" fontId="18" fillId="0" borderId="1" xfId="1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0" fontId="14" fillId="0" borderId="0" xfId="0" applyNumberFormat="1" applyFont="1" applyFill="1" applyBorder="1" applyAlignment="1" applyProtection="1">
      <alignment horizontal="right" vertical="top"/>
      <protection locked="0"/>
    </xf>
    <xf numFmtId="0" fontId="15" fillId="0" borderId="1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9" fillId="3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8" xfId="0" applyFont="1" applyBorder="1"/>
    <xf numFmtId="0" fontId="11" fillId="0" borderId="4" xfId="0" applyFont="1" applyBorder="1"/>
    <xf numFmtId="0" fontId="10" fillId="0" borderId="1" xfId="0" applyFont="1" applyFill="1" applyBorder="1" applyAlignment="1"/>
    <xf numFmtId="0" fontId="21" fillId="0" borderId="5" xfId="0" applyFont="1" applyBorder="1" applyAlignment="1"/>
    <xf numFmtId="0" fontId="21" fillId="0" borderId="6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2"/>
  <sheetViews>
    <sheetView tabSelected="1" zoomScale="85" zoomScaleNormal="85" workbookViewId="0">
      <pane ySplit="9" topLeftCell="A80" activePane="bottomLeft" state="frozen"/>
      <selection pane="bottomLeft" activeCell="AI88" sqref="AI88"/>
    </sheetView>
  </sheetViews>
  <sheetFormatPr defaultRowHeight="15" x14ac:dyDescent="0.25"/>
  <cols>
    <col min="2" max="2" width="21.85546875" customWidth="1"/>
    <col min="3" max="3" width="9" bestFit="1" customWidth="1"/>
    <col min="4" max="4" width="10" bestFit="1" customWidth="1"/>
    <col min="5" max="5" width="34" customWidth="1"/>
    <col min="6" max="9" width="5.5703125" bestFit="1" customWidth="1"/>
    <col min="10" max="10" width="18.140625" bestFit="1" customWidth="1"/>
    <col min="11" max="12" width="5.5703125" bestFit="1" customWidth="1"/>
    <col min="13" max="13" width="19.5703125" bestFit="1" customWidth="1"/>
    <col min="14" max="14" width="5.42578125" bestFit="1" customWidth="1"/>
    <col min="15" max="15" width="11.42578125" bestFit="1" customWidth="1"/>
    <col min="16" max="16" width="7.7109375" bestFit="1" customWidth="1"/>
  </cols>
  <sheetData>
    <row r="1" spans="1:37" x14ac:dyDescent="0.25">
      <c r="A1" t="s">
        <v>0</v>
      </c>
    </row>
    <row r="2" spans="1:37" x14ac:dyDescent="0.25">
      <c r="A2" t="s">
        <v>1</v>
      </c>
    </row>
    <row r="3" spans="1:37" x14ac:dyDescent="0.25">
      <c r="A3" t="s">
        <v>2</v>
      </c>
    </row>
    <row r="4" spans="1:37" x14ac:dyDescent="0.25">
      <c r="A4" t="s">
        <v>336</v>
      </c>
      <c r="B4" t="s">
        <v>335</v>
      </c>
      <c r="E4" t="s">
        <v>337</v>
      </c>
      <c r="J4" t="s">
        <v>338</v>
      </c>
      <c r="M4" t="s">
        <v>3</v>
      </c>
    </row>
    <row r="5" spans="1:37" x14ac:dyDescent="0.25">
      <c r="D5" t="s">
        <v>4</v>
      </c>
      <c r="E5" s="1" t="s">
        <v>6</v>
      </c>
      <c r="F5" s="1" t="s">
        <v>5</v>
      </c>
      <c r="G5" s="1" t="s">
        <v>8</v>
      </c>
      <c r="H5" s="2" t="s">
        <v>6</v>
      </c>
      <c r="I5" s="1" t="s">
        <v>5</v>
      </c>
      <c r="J5" s="2" t="s">
        <v>5</v>
      </c>
      <c r="K5" s="1" t="s">
        <v>6</v>
      </c>
      <c r="L5" s="2" t="s">
        <v>8</v>
      </c>
      <c r="M5" s="2" t="s">
        <v>339</v>
      </c>
      <c r="O5" s="2" t="s">
        <v>6</v>
      </c>
      <c r="P5" s="2" t="s">
        <v>6</v>
      </c>
      <c r="Q5" s="1" t="s">
        <v>5</v>
      </c>
      <c r="R5" s="2" t="s">
        <v>5</v>
      </c>
      <c r="S5" s="2" t="s">
        <v>6</v>
      </c>
      <c r="T5" s="3" t="s">
        <v>6</v>
      </c>
      <c r="U5" s="4" t="s">
        <v>7</v>
      </c>
      <c r="V5" s="4" t="s">
        <v>7</v>
      </c>
      <c r="W5" s="5" t="s">
        <v>8</v>
      </c>
      <c r="X5" s="5" t="s">
        <v>8</v>
      </c>
      <c r="Y5" s="5" t="s">
        <v>9</v>
      </c>
      <c r="Z5" s="5" t="s">
        <v>9</v>
      </c>
      <c r="AA5" s="2" t="s">
        <v>5</v>
      </c>
      <c r="AB5" s="3" t="s">
        <v>6</v>
      </c>
      <c r="AC5" s="4" t="s">
        <v>7</v>
      </c>
      <c r="AD5" s="2" t="s">
        <v>8</v>
      </c>
      <c r="AE5" s="1" t="s">
        <v>8</v>
      </c>
      <c r="AF5" s="5" t="s">
        <v>9</v>
      </c>
      <c r="AG5" s="4" t="s">
        <v>7</v>
      </c>
      <c r="AH5" s="5" t="s">
        <v>8</v>
      </c>
    </row>
    <row r="6" spans="1:37" x14ac:dyDescent="0.25">
      <c r="D6" t="s">
        <v>10</v>
      </c>
      <c r="N6" s="1"/>
    </row>
    <row r="7" spans="1:37" x14ac:dyDescent="0.25">
      <c r="E7" t="s">
        <v>11</v>
      </c>
      <c r="N7" s="1" t="s">
        <v>12</v>
      </c>
      <c r="O7" t="s">
        <v>13</v>
      </c>
      <c r="P7" t="s">
        <v>14</v>
      </c>
      <c r="Q7" t="s">
        <v>15</v>
      </c>
      <c r="AI7" s="1" t="s">
        <v>12</v>
      </c>
    </row>
    <row r="8" spans="1:37" x14ac:dyDescent="0.25">
      <c r="D8" t="s">
        <v>16</v>
      </c>
      <c r="E8" t="s">
        <v>17</v>
      </c>
      <c r="J8" t="s">
        <v>18</v>
      </c>
      <c r="K8" t="s">
        <v>19</v>
      </c>
      <c r="L8" t="s">
        <v>20</v>
      </c>
      <c r="M8" t="s">
        <v>21</v>
      </c>
      <c r="N8" s="1"/>
      <c r="Q8" t="s">
        <v>22</v>
      </c>
      <c r="AA8" t="s">
        <v>23</v>
      </c>
      <c r="AB8" t="s">
        <v>24</v>
      </c>
      <c r="AC8" t="s">
        <v>25</v>
      </c>
      <c r="AD8" t="s">
        <v>26</v>
      </c>
      <c r="AE8" t="s">
        <v>27</v>
      </c>
      <c r="AF8" t="s">
        <v>28</v>
      </c>
      <c r="AG8" t="s">
        <v>29</v>
      </c>
      <c r="AH8" t="s">
        <v>30</v>
      </c>
      <c r="AI8" s="1"/>
    </row>
    <row r="9" spans="1:37" x14ac:dyDescent="0.25">
      <c r="E9" t="s">
        <v>31</v>
      </c>
      <c r="F9" t="s">
        <v>32</v>
      </c>
      <c r="G9" t="s">
        <v>33</v>
      </c>
      <c r="H9" t="s">
        <v>34</v>
      </c>
      <c r="I9" t="s">
        <v>35</v>
      </c>
      <c r="N9" s="1"/>
      <c r="Q9" t="s">
        <v>31</v>
      </c>
      <c r="R9" t="s">
        <v>32</v>
      </c>
      <c r="S9" t="s">
        <v>36</v>
      </c>
      <c r="T9" t="s">
        <v>37</v>
      </c>
      <c r="U9" t="s">
        <v>35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I9" s="1"/>
    </row>
    <row r="10" spans="1:37" x14ac:dyDescent="0.25">
      <c r="B10" s="93" t="s">
        <v>43</v>
      </c>
      <c r="C10" s="93"/>
      <c r="D10" s="93"/>
      <c r="E10">
        <f>(0.5*E11)</f>
        <v>0.5</v>
      </c>
      <c r="F10">
        <f t="shared" ref="F10:AH10" si="0">(0.5*F11)</f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2</v>
      </c>
      <c r="K10">
        <f t="shared" si="0"/>
        <v>2</v>
      </c>
      <c r="L10">
        <f t="shared" si="0"/>
        <v>2</v>
      </c>
      <c r="M10">
        <f t="shared" si="0"/>
        <v>2</v>
      </c>
      <c r="N10" s="1"/>
      <c r="O10">
        <f t="shared" si="0"/>
        <v>5</v>
      </c>
      <c r="P10">
        <f t="shared" si="0"/>
        <v>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2</v>
      </c>
      <c r="AB10">
        <f t="shared" si="0"/>
        <v>2</v>
      </c>
      <c r="AC10">
        <f t="shared" si="0"/>
        <v>2</v>
      </c>
      <c r="AD10">
        <f t="shared" si="0"/>
        <v>2</v>
      </c>
      <c r="AE10">
        <f t="shared" si="0"/>
        <v>2</v>
      </c>
      <c r="AF10">
        <f t="shared" si="0"/>
        <v>2</v>
      </c>
      <c r="AG10">
        <f t="shared" si="0"/>
        <v>4</v>
      </c>
      <c r="AH10">
        <f t="shared" si="0"/>
        <v>4</v>
      </c>
      <c r="AI10" s="1"/>
    </row>
    <row r="11" spans="1:37" x14ac:dyDescent="0.25">
      <c r="B11" s="93" t="s">
        <v>44</v>
      </c>
      <c r="C11" s="93"/>
      <c r="D11" s="93"/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  <c r="K11">
        <v>4</v>
      </c>
      <c r="L11">
        <v>4</v>
      </c>
      <c r="M11">
        <v>4</v>
      </c>
      <c r="N11" s="1">
        <v>25</v>
      </c>
      <c r="O11">
        <v>10</v>
      </c>
      <c r="P11">
        <v>10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8</v>
      </c>
      <c r="AH11">
        <v>8</v>
      </c>
      <c r="AI11" s="1">
        <v>50</v>
      </c>
    </row>
    <row r="12" spans="1:37" x14ac:dyDescent="0.25">
      <c r="B12" s="6" t="s">
        <v>45</v>
      </c>
      <c r="C12" s="6" t="s">
        <v>46</v>
      </c>
      <c r="N12" s="1"/>
      <c r="AI12" s="1"/>
    </row>
    <row r="13" spans="1:37" x14ac:dyDescent="0.25">
      <c r="A13">
        <v>1</v>
      </c>
      <c r="B13" s="6" t="s">
        <v>185</v>
      </c>
      <c r="C13" s="6" t="s">
        <v>186</v>
      </c>
      <c r="D13" s="6"/>
      <c r="E13" s="6">
        <v>0.5</v>
      </c>
      <c r="F13">
        <v>1</v>
      </c>
      <c r="G13">
        <v>0.5</v>
      </c>
      <c r="H13" s="6">
        <v>0.5</v>
      </c>
      <c r="I13" s="6">
        <v>1</v>
      </c>
      <c r="J13">
        <v>1</v>
      </c>
      <c r="K13">
        <v>1</v>
      </c>
      <c r="L13">
        <v>2.5</v>
      </c>
      <c r="M13">
        <v>3</v>
      </c>
      <c r="N13" s="1">
        <f t="shared" ref="N13:N44" si="1">SUM(E13:M13)</f>
        <v>11</v>
      </c>
      <c r="O13">
        <v>8</v>
      </c>
      <c r="P13" s="1">
        <v>4</v>
      </c>
      <c r="Q13" s="6">
        <v>1</v>
      </c>
      <c r="R13" s="6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4</v>
      </c>
      <c r="AB13">
        <v>3</v>
      </c>
      <c r="AC13">
        <v>3</v>
      </c>
      <c r="AD13">
        <v>2.5</v>
      </c>
      <c r="AE13">
        <v>4</v>
      </c>
      <c r="AF13">
        <v>0</v>
      </c>
      <c r="AG13">
        <v>2</v>
      </c>
      <c r="AH13">
        <v>6</v>
      </c>
      <c r="AI13">
        <f>SUM(Q13:AH13)</f>
        <v>30.5</v>
      </c>
      <c r="AK13" s="1">
        <f>SUM(S13:AJ13)</f>
        <v>59</v>
      </c>
    </row>
    <row r="14" spans="1:37" x14ac:dyDescent="0.25">
      <c r="A14">
        <v>2</v>
      </c>
      <c r="B14" s="6" t="s">
        <v>187</v>
      </c>
      <c r="C14" s="6" t="s">
        <v>188</v>
      </c>
      <c r="D14" s="6"/>
      <c r="E14" s="6">
        <v>1</v>
      </c>
      <c r="F14">
        <v>0.5</v>
      </c>
      <c r="G14">
        <v>0.5</v>
      </c>
      <c r="H14">
        <v>0.5</v>
      </c>
      <c r="I14">
        <v>0.5</v>
      </c>
      <c r="J14">
        <v>3</v>
      </c>
      <c r="K14">
        <v>3.5</v>
      </c>
      <c r="L14">
        <v>3</v>
      </c>
      <c r="M14">
        <v>3</v>
      </c>
      <c r="N14" s="1">
        <f t="shared" si="1"/>
        <v>15.5</v>
      </c>
      <c r="O14">
        <v>8.5</v>
      </c>
      <c r="P14" s="1">
        <v>5</v>
      </c>
      <c r="Q14" s="6">
        <v>1</v>
      </c>
      <c r="R14" s="6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3</v>
      </c>
      <c r="AB14">
        <v>3</v>
      </c>
      <c r="AC14">
        <v>2</v>
      </c>
      <c r="AD14">
        <v>3</v>
      </c>
      <c r="AE14">
        <v>2.5</v>
      </c>
      <c r="AF14">
        <v>2</v>
      </c>
      <c r="AG14">
        <v>7</v>
      </c>
      <c r="AH14">
        <v>6</v>
      </c>
      <c r="AI14">
        <f t="shared" ref="AI14:AI77" si="2">SUM(Q14:AH14)</f>
        <v>34.5</v>
      </c>
      <c r="AK14" s="1">
        <f t="shared" ref="AK14:AK36" si="3">SUM(S14:AJ14)</f>
        <v>67</v>
      </c>
    </row>
    <row r="15" spans="1:37" x14ac:dyDescent="0.25">
      <c r="A15">
        <v>3</v>
      </c>
      <c r="B15" s="6" t="s">
        <v>189</v>
      </c>
      <c r="C15" s="6" t="s">
        <v>190</v>
      </c>
      <c r="D15" s="6"/>
      <c r="E15" s="6">
        <v>1</v>
      </c>
      <c r="F15">
        <v>1</v>
      </c>
      <c r="G15">
        <v>1</v>
      </c>
      <c r="H15" s="6">
        <v>1</v>
      </c>
      <c r="I15" s="6">
        <v>1</v>
      </c>
      <c r="J15" s="6">
        <v>3.5</v>
      </c>
      <c r="K15" s="6">
        <v>3.5</v>
      </c>
      <c r="L15" s="6">
        <v>2.5</v>
      </c>
      <c r="M15" s="6">
        <v>5.5</v>
      </c>
      <c r="N15" s="1">
        <f t="shared" si="1"/>
        <v>20</v>
      </c>
      <c r="O15" s="6">
        <v>8</v>
      </c>
      <c r="P15" s="1">
        <v>4.5</v>
      </c>
      <c r="Q15" s="6">
        <v>1</v>
      </c>
      <c r="R15" s="6">
        <v>1</v>
      </c>
      <c r="S15" s="6">
        <v>1</v>
      </c>
      <c r="T15" s="6">
        <v>1</v>
      </c>
      <c r="U15" s="6">
        <v>0</v>
      </c>
      <c r="V15" s="6">
        <v>0</v>
      </c>
      <c r="W15" s="6">
        <v>0</v>
      </c>
      <c r="X15" s="6">
        <v>1</v>
      </c>
      <c r="Y15" s="6">
        <v>0</v>
      </c>
      <c r="Z15" s="6">
        <v>0</v>
      </c>
      <c r="AA15" s="6">
        <v>4</v>
      </c>
      <c r="AB15" s="6">
        <v>3</v>
      </c>
      <c r="AC15" s="6">
        <v>3</v>
      </c>
      <c r="AD15" s="6">
        <v>3</v>
      </c>
      <c r="AE15" s="6">
        <v>3</v>
      </c>
      <c r="AF15" s="6">
        <v>3</v>
      </c>
      <c r="AG15" s="6">
        <v>6</v>
      </c>
      <c r="AH15" s="6">
        <v>7</v>
      </c>
      <c r="AI15">
        <f t="shared" si="2"/>
        <v>37</v>
      </c>
      <c r="AK15" s="1">
        <f t="shared" si="3"/>
        <v>72</v>
      </c>
    </row>
    <row r="16" spans="1:37" x14ac:dyDescent="0.25">
      <c r="A16">
        <v>4</v>
      </c>
      <c r="B16" s="6" t="s">
        <v>191</v>
      </c>
      <c r="C16" s="6" t="s">
        <v>192</v>
      </c>
      <c r="D16" s="6"/>
      <c r="E16" s="6">
        <v>0</v>
      </c>
      <c r="F16">
        <v>0</v>
      </c>
      <c r="G16">
        <v>0</v>
      </c>
      <c r="H16" s="6">
        <v>0</v>
      </c>
      <c r="I16" s="6">
        <v>0</v>
      </c>
      <c r="J16">
        <v>2</v>
      </c>
      <c r="K16">
        <v>2.5</v>
      </c>
      <c r="L16">
        <v>1</v>
      </c>
      <c r="M16">
        <v>5</v>
      </c>
      <c r="N16" s="1">
        <f t="shared" si="1"/>
        <v>10.5</v>
      </c>
      <c r="O16">
        <v>7.5</v>
      </c>
      <c r="P16" s="1">
        <v>4</v>
      </c>
      <c r="Q16" s="6">
        <v>1</v>
      </c>
      <c r="R16" s="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4</v>
      </c>
      <c r="AD16">
        <v>0</v>
      </c>
      <c r="AE16">
        <v>0</v>
      </c>
      <c r="AF16">
        <v>4</v>
      </c>
      <c r="AG16">
        <v>8</v>
      </c>
      <c r="AH16">
        <v>0</v>
      </c>
      <c r="AI16">
        <f t="shared" si="2"/>
        <v>22</v>
      </c>
      <c r="AK16" s="7">
        <f t="shared" si="3"/>
        <v>42</v>
      </c>
    </row>
    <row r="17" spans="1:37" x14ac:dyDescent="0.25">
      <c r="A17">
        <v>5</v>
      </c>
      <c r="B17" s="6" t="s">
        <v>193</v>
      </c>
      <c r="C17" s="6" t="s">
        <v>194</v>
      </c>
      <c r="D17" s="6"/>
      <c r="E17" s="6">
        <v>1</v>
      </c>
      <c r="F17">
        <v>0.5</v>
      </c>
      <c r="G17">
        <v>0</v>
      </c>
      <c r="H17" s="6">
        <v>1</v>
      </c>
      <c r="I17" s="6">
        <v>1</v>
      </c>
      <c r="J17" s="6">
        <v>3</v>
      </c>
      <c r="K17" s="6">
        <v>3.5</v>
      </c>
      <c r="L17" s="6">
        <v>2.5</v>
      </c>
      <c r="M17" s="6">
        <v>5</v>
      </c>
      <c r="N17" s="1">
        <f t="shared" si="1"/>
        <v>17.5</v>
      </c>
      <c r="O17" s="6">
        <v>9</v>
      </c>
      <c r="P17" s="1">
        <v>9</v>
      </c>
      <c r="Q17" s="6">
        <v>1</v>
      </c>
      <c r="R17" s="6">
        <v>1</v>
      </c>
      <c r="S17" s="6">
        <v>0</v>
      </c>
      <c r="T17" s="6">
        <v>1</v>
      </c>
      <c r="U17" s="6">
        <v>1</v>
      </c>
      <c r="V17" s="6">
        <v>1</v>
      </c>
      <c r="W17" s="6">
        <v>0</v>
      </c>
      <c r="X17" s="6">
        <v>0.5</v>
      </c>
      <c r="Y17" s="6">
        <v>0.5</v>
      </c>
      <c r="Z17" s="6">
        <v>1</v>
      </c>
      <c r="AA17" s="6">
        <v>4</v>
      </c>
      <c r="AB17" s="6">
        <v>4</v>
      </c>
      <c r="AC17" s="6">
        <v>3</v>
      </c>
      <c r="AD17" s="6">
        <v>4</v>
      </c>
      <c r="AE17" s="6">
        <v>4</v>
      </c>
      <c r="AF17" s="6">
        <v>3</v>
      </c>
      <c r="AG17" s="6">
        <v>7</v>
      </c>
      <c r="AH17" s="6">
        <v>7</v>
      </c>
      <c r="AI17">
        <f t="shared" si="2"/>
        <v>43</v>
      </c>
      <c r="AK17" s="7">
        <f t="shared" si="3"/>
        <v>84</v>
      </c>
    </row>
    <row r="18" spans="1:37" x14ac:dyDescent="0.25">
      <c r="A18">
        <v>6</v>
      </c>
      <c r="B18" s="6" t="s">
        <v>195</v>
      </c>
      <c r="C18" s="6" t="s">
        <v>196</v>
      </c>
      <c r="D18" s="6"/>
      <c r="E18" s="6">
        <v>0.5</v>
      </c>
      <c r="F18">
        <v>0.5</v>
      </c>
      <c r="G18">
        <v>2</v>
      </c>
      <c r="H18" s="6">
        <v>0.5</v>
      </c>
      <c r="I18" s="6">
        <v>1</v>
      </c>
      <c r="J18">
        <v>3</v>
      </c>
      <c r="K18">
        <v>3</v>
      </c>
      <c r="L18">
        <v>2.5</v>
      </c>
      <c r="M18">
        <v>4</v>
      </c>
      <c r="N18" s="1">
        <f t="shared" si="1"/>
        <v>17</v>
      </c>
      <c r="O18">
        <v>8</v>
      </c>
      <c r="P18" s="1">
        <v>4</v>
      </c>
      <c r="Q18" s="6">
        <v>0</v>
      </c>
      <c r="R18" s="6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3</v>
      </c>
      <c r="AB18">
        <v>0</v>
      </c>
      <c r="AC18">
        <v>3</v>
      </c>
      <c r="AD18">
        <v>0</v>
      </c>
      <c r="AE18">
        <v>2.5</v>
      </c>
      <c r="AF18">
        <v>4</v>
      </c>
      <c r="AG18">
        <v>7.5</v>
      </c>
      <c r="AH18">
        <v>8</v>
      </c>
      <c r="AI18">
        <f t="shared" si="2"/>
        <v>30</v>
      </c>
      <c r="AK18" s="7">
        <f t="shared" si="3"/>
        <v>60</v>
      </c>
    </row>
    <row r="19" spans="1:37" x14ac:dyDescent="0.25">
      <c r="A19">
        <v>7</v>
      </c>
      <c r="B19" s="6" t="s">
        <v>197</v>
      </c>
      <c r="C19" s="6" t="s">
        <v>198</v>
      </c>
      <c r="D19" s="6"/>
      <c r="E19" s="6">
        <v>1</v>
      </c>
      <c r="F19">
        <v>1</v>
      </c>
      <c r="G19">
        <v>1</v>
      </c>
      <c r="H19" s="6">
        <v>1</v>
      </c>
      <c r="I19" s="6">
        <v>0.5</v>
      </c>
      <c r="J19" s="6">
        <v>4</v>
      </c>
      <c r="K19" s="6">
        <v>4</v>
      </c>
      <c r="L19" s="6">
        <v>3.5</v>
      </c>
      <c r="M19" s="6">
        <v>7.5</v>
      </c>
      <c r="N19" s="1">
        <f t="shared" si="1"/>
        <v>23.5</v>
      </c>
      <c r="O19" s="6">
        <v>9.5</v>
      </c>
      <c r="P19" s="1">
        <v>8</v>
      </c>
      <c r="Q19" s="6">
        <v>1</v>
      </c>
      <c r="R19" s="6">
        <v>1</v>
      </c>
      <c r="S19" s="6">
        <v>1</v>
      </c>
      <c r="T19" s="6">
        <v>1</v>
      </c>
      <c r="U19" s="6">
        <v>0.5</v>
      </c>
      <c r="V19" s="6">
        <v>1</v>
      </c>
      <c r="W19" s="6">
        <v>1</v>
      </c>
      <c r="X19" s="6">
        <v>0</v>
      </c>
      <c r="Y19" s="6">
        <v>1</v>
      </c>
      <c r="Z19" s="6">
        <v>1</v>
      </c>
      <c r="AA19" s="6">
        <v>4</v>
      </c>
      <c r="AB19" s="6">
        <v>4</v>
      </c>
      <c r="AC19" s="6">
        <v>3.5</v>
      </c>
      <c r="AD19" s="6">
        <v>4</v>
      </c>
      <c r="AE19" s="6">
        <v>4</v>
      </c>
      <c r="AF19" s="6">
        <v>4</v>
      </c>
      <c r="AG19" s="6">
        <v>8</v>
      </c>
      <c r="AH19" s="6">
        <v>8</v>
      </c>
      <c r="AI19">
        <f t="shared" si="2"/>
        <v>48</v>
      </c>
      <c r="AK19" s="7">
        <f t="shared" si="3"/>
        <v>94</v>
      </c>
    </row>
    <row r="20" spans="1:37" x14ac:dyDescent="0.25">
      <c r="A20">
        <v>8</v>
      </c>
      <c r="B20" s="6" t="s">
        <v>199</v>
      </c>
      <c r="C20" s="6" t="s">
        <v>200</v>
      </c>
      <c r="D20" s="6"/>
      <c r="E20" s="6">
        <v>1</v>
      </c>
      <c r="F20">
        <v>1</v>
      </c>
      <c r="G20">
        <v>1</v>
      </c>
      <c r="H20">
        <v>1</v>
      </c>
      <c r="I20" s="6">
        <v>1</v>
      </c>
      <c r="J20">
        <v>3.5</v>
      </c>
      <c r="K20">
        <v>0</v>
      </c>
      <c r="L20">
        <v>3</v>
      </c>
      <c r="M20">
        <v>7</v>
      </c>
      <c r="N20" s="1">
        <f t="shared" si="1"/>
        <v>18.5</v>
      </c>
      <c r="O20">
        <v>8</v>
      </c>
      <c r="P20" s="1">
        <v>6</v>
      </c>
      <c r="Q20" s="6">
        <v>1</v>
      </c>
      <c r="R20" s="6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4</v>
      </c>
      <c r="AB20">
        <v>4</v>
      </c>
      <c r="AC20">
        <v>3</v>
      </c>
      <c r="AD20">
        <v>3</v>
      </c>
      <c r="AE20">
        <v>1</v>
      </c>
      <c r="AF20">
        <v>4</v>
      </c>
      <c r="AG20">
        <v>6.5</v>
      </c>
      <c r="AH20">
        <v>7</v>
      </c>
      <c r="AI20">
        <f t="shared" si="2"/>
        <v>36.5</v>
      </c>
      <c r="AK20" s="7">
        <f t="shared" si="3"/>
        <v>71</v>
      </c>
    </row>
    <row r="21" spans="1:37" x14ac:dyDescent="0.25">
      <c r="A21">
        <v>9</v>
      </c>
      <c r="B21" s="6" t="s">
        <v>201</v>
      </c>
      <c r="C21" s="6" t="s">
        <v>202</v>
      </c>
      <c r="D21" s="6"/>
      <c r="E21" s="6">
        <v>1</v>
      </c>
      <c r="F21">
        <v>0.5</v>
      </c>
      <c r="G21">
        <v>0.5</v>
      </c>
      <c r="H21" s="6">
        <v>0.5</v>
      </c>
      <c r="I21">
        <v>1</v>
      </c>
      <c r="J21" s="6">
        <v>3</v>
      </c>
      <c r="K21" s="6">
        <v>2.5</v>
      </c>
      <c r="L21" s="6">
        <v>3</v>
      </c>
      <c r="M21" s="6">
        <v>7</v>
      </c>
      <c r="N21" s="1">
        <f t="shared" si="1"/>
        <v>19</v>
      </c>
      <c r="O21" s="6">
        <v>8</v>
      </c>
      <c r="P21" s="1">
        <v>6</v>
      </c>
      <c r="Q21" s="6">
        <v>1</v>
      </c>
      <c r="R21" s="6">
        <v>1</v>
      </c>
      <c r="S21" s="6">
        <v>1</v>
      </c>
      <c r="T21" s="6">
        <v>1</v>
      </c>
      <c r="U21" s="6">
        <v>0</v>
      </c>
      <c r="V21" s="6">
        <v>1</v>
      </c>
      <c r="W21" s="6">
        <v>1</v>
      </c>
      <c r="X21" s="6">
        <v>1</v>
      </c>
      <c r="Y21" s="6">
        <v>1</v>
      </c>
      <c r="Z21" s="6">
        <v>0</v>
      </c>
      <c r="AA21" s="6">
        <v>4</v>
      </c>
      <c r="AB21" s="6">
        <v>4</v>
      </c>
      <c r="AC21" s="6">
        <v>3.5</v>
      </c>
      <c r="AD21" s="6">
        <v>3</v>
      </c>
      <c r="AE21" s="6">
        <v>4</v>
      </c>
      <c r="AF21" s="6">
        <v>3.5</v>
      </c>
      <c r="AG21" s="6">
        <v>7.5</v>
      </c>
      <c r="AH21" s="6">
        <v>6.5</v>
      </c>
      <c r="AI21">
        <f t="shared" si="2"/>
        <v>44</v>
      </c>
      <c r="AK21" s="7">
        <f t="shared" si="3"/>
        <v>86</v>
      </c>
    </row>
    <row r="22" spans="1:37" x14ac:dyDescent="0.25">
      <c r="A22">
        <v>10</v>
      </c>
      <c r="B22" s="6" t="s">
        <v>203</v>
      </c>
      <c r="C22" s="6" t="s">
        <v>204</v>
      </c>
      <c r="D22" s="6"/>
      <c r="E22" s="6">
        <v>1</v>
      </c>
      <c r="F22">
        <v>1</v>
      </c>
      <c r="G22">
        <v>1</v>
      </c>
      <c r="H22" s="6">
        <v>1</v>
      </c>
      <c r="I22" s="6">
        <v>1</v>
      </c>
      <c r="J22" s="6">
        <v>4</v>
      </c>
      <c r="K22" s="6">
        <v>4</v>
      </c>
      <c r="L22" s="6">
        <v>3.5</v>
      </c>
      <c r="M22" s="6">
        <v>5</v>
      </c>
      <c r="N22" s="1">
        <f t="shared" si="1"/>
        <v>21.5</v>
      </c>
      <c r="O22" s="6">
        <v>9.5</v>
      </c>
      <c r="P22" s="1">
        <v>7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4</v>
      </c>
      <c r="AB22" s="6">
        <v>4</v>
      </c>
      <c r="AC22" s="6">
        <v>4</v>
      </c>
      <c r="AD22" s="6">
        <v>4</v>
      </c>
      <c r="AE22" s="6">
        <v>4</v>
      </c>
      <c r="AF22" s="6">
        <v>4</v>
      </c>
      <c r="AG22" s="6">
        <v>7.5</v>
      </c>
      <c r="AH22" s="6">
        <v>7.5</v>
      </c>
      <c r="AI22">
        <f t="shared" si="2"/>
        <v>49</v>
      </c>
      <c r="AK22" s="7">
        <f t="shared" si="3"/>
        <v>96</v>
      </c>
    </row>
    <row r="23" spans="1:37" x14ac:dyDescent="0.25">
      <c r="A23">
        <v>11</v>
      </c>
      <c r="B23" s="6" t="s">
        <v>205</v>
      </c>
      <c r="C23" s="6" t="s">
        <v>206</v>
      </c>
      <c r="D23" s="6"/>
      <c r="E23" s="6" t="s">
        <v>49</v>
      </c>
      <c r="F23" t="s">
        <v>49</v>
      </c>
      <c r="G23" t="s">
        <v>49</v>
      </c>
      <c r="H23" s="6" t="s">
        <v>49</v>
      </c>
      <c r="I23" s="6" t="s">
        <v>49</v>
      </c>
      <c r="J23" s="6" t="s">
        <v>49</v>
      </c>
      <c r="K23" s="6" t="s">
        <v>49</v>
      </c>
      <c r="L23" s="6" t="s">
        <v>340</v>
      </c>
      <c r="M23" s="6" t="s">
        <v>49</v>
      </c>
      <c r="N23" s="1" t="s">
        <v>49</v>
      </c>
      <c r="O23" s="6">
        <v>8</v>
      </c>
      <c r="P23" s="1">
        <v>3</v>
      </c>
      <c r="Q23" s="6">
        <v>0</v>
      </c>
      <c r="R23" s="6">
        <v>1</v>
      </c>
      <c r="S23" s="6">
        <v>0</v>
      </c>
      <c r="T23" s="6">
        <v>0</v>
      </c>
      <c r="U23" s="6">
        <v>1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2</v>
      </c>
      <c r="AB23" s="6">
        <v>2.5</v>
      </c>
      <c r="AC23" s="6">
        <v>0</v>
      </c>
      <c r="AD23" s="6">
        <v>2.5</v>
      </c>
      <c r="AE23" s="6">
        <v>0</v>
      </c>
      <c r="AF23" s="6">
        <v>2</v>
      </c>
      <c r="AG23" s="6">
        <v>0</v>
      </c>
      <c r="AH23" s="6">
        <v>2</v>
      </c>
      <c r="AI23">
        <f t="shared" si="2"/>
        <v>14</v>
      </c>
      <c r="AK23" s="7">
        <f t="shared" si="3"/>
        <v>27</v>
      </c>
    </row>
    <row r="24" spans="1:37" x14ac:dyDescent="0.25">
      <c r="A24">
        <v>12</v>
      </c>
      <c r="B24" s="6" t="s">
        <v>207</v>
      </c>
      <c r="C24" s="6" t="s">
        <v>208</v>
      </c>
      <c r="D24" s="6"/>
      <c r="E24" s="6">
        <v>1</v>
      </c>
      <c r="F24">
        <v>1</v>
      </c>
      <c r="G24">
        <v>1</v>
      </c>
      <c r="H24" s="6">
        <v>1</v>
      </c>
      <c r="I24">
        <v>1</v>
      </c>
      <c r="J24" s="6">
        <v>4</v>
      </c>
      <c r="K24" s="6">
        <v>4</v>
      </c>
      <c r="L24" s="6">
        <v>3.5</v>
      </c>
      <c r="M24" s="6">
        <v>7</v>
      </c>
      <c r="N24" s="1">
        <f t="shared" si="1"/>
        <v>23.5</v>
      </c>
      <c r="O24" s="6">
        <v>10</v>
      </c>
      <c r="P24" s="1">
        <v>7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4</v>
      </c>
      <c r="AB24" s="6">
        <v>4</v>
      </c>
      <c r="AC24" s="6">
        <v>4</v>
      </c>
      <c r="AD24" s="6">
        <v>4</v>
      </c>
      <c r="AE24" s="6">
        <v>4</v>
      </c>
      <c r="AF24" s="6">
        <v>4</v>
      </c>
      <c r="AG24" s="6">
        <v>7.5</v>
      </c>
      <c r="AH24" s="6">
        <v>7.5</v>
      </c>
      <c r="AI24">
        <f t="shared" si="2"/>
        <v>49</v>
      </c>
      <c r="AK24" s="7">
        <f t="shared" si="3"/>
        <v>96</v>
      </c>
    </row>
    <row r="25" spans="1:37" x14ac:dyDescent="0.25">
      <c r="A25">
        <v>13</v>
      </c>
      <c r="B25" s="6" t="s">
        <v>209</v>
      </c>
      <c r="C25" s="6" t="s">
        <v>210</v>
      </c>
      <c r="D25" s="6"/>
      <c r="E25" s="6">
        <v>1</v>
      </c>
      <c r="F25">
        <v>1</v>
      </c>
      <c r="G25">
        <v>1</v>
      </c>
      <c r="H25" s="6">
        <v>1</v>
      </c>
      <c r="I25" s="6">
        <v>1</v>
      </c>
      <c r="J25" s="6">
        <v>3</v>
      </c>
      <c r="K25" s="6">
        <v>3.5</v>
      </c>
      <c r="L25" s="6">
        <v>3.5</v>
      </c>
      <c r="M25" s="6">
        <v>8</v>
      </c>
      <c r="N25" s="1">
        <f t="shared" si="1"/>
        <v>23</v>
      </c>
      <c r="O25" s="6">
        <v>9.5</v>
      </c>
      <c r="P25" s="1">
        <v>9</v>
      </c>
      <c r="Q25" s="6">
        <v>0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0</v>
      </c>
      <c r="X25" s="6">
        <v>1</v>
      </c>
      <c r="Y25" s="6">
        <v>1</v>
      </c>
      <c r="Z25" s="6">
        <v>1</v>
      </c>
      <c r="AA25" s="6">
        <v>4</v>
      </c>
      <c r="AB25" s="6">
        <v>3.5</v>
      </c>
      <c r="AC25" s="6">
        <v>4</v>
      </c>
      <c r="AD25" s="6">
        <v>3.5</v>
      </c>
      <c r="AE25" s="6">
        <v>3</v>
      </c>
      <c r="AF25" s="6">
        <v>4</v>
      </c>
      <c r="AG25" s="6">
        <v>8</v>
      </c>
      <c r="AH25" s="6">
        <v>8</v>
      </c>
      <c r="AI25">
        <f t="shared" si="2"/>
        <v>46</v>
      </c>
      <c r="AK25" s="7">
        <f t="shared" si="3"/>
        <v>91</v>
      </c>
    </row>
    <row r="26" spans="1:37" x14ac:dyDescent="0.25">
      <c r="A26">
        <v>14</v>
      </c>
      <c r="B26" s="6" t="s">
        <v>211</v>
      </c>
      <c r="C26" s="6" t="s">
        <v>212</v>
      </c>
      <c r="D26" s="6"/>
      <c r="E26" s="6">
        <v>1</v>
      </c>
      <c r="F26">
        <v>0.5</v>
      </c>
      <c r="G26">
        <v>1</v>
      </c>
      <c r="H26" s="6">
        <v>0.5</v>
      </c>
      <c r="I26" s="6">
        <v>1</v>
      </c>
      <c r="J26" s="6">
        <v>2.5</v>
      </c>
      <c r="K26" s="6">
        <v>2</v>
      </c>
      <c r="L26" s="6">
        <v>3</v>
      </c>
      <c r="M26" s="6">
        <v>7</v>
      </c>
      <c r="N26" s="1">
        <f t="shared" si="1"/>
        <v>18.5</v>
      </c>
      <c r="O26" s="6">
        <v>8</v>
      </c>
      <c r="P26" s="1">
        <v>7</v>
      </c>
      <c r="Q26" s="6">
        <v>0</v>
      </c>
      <c r="R26" s="6">
        <v>1</v>
      </c>
      <c r="S26" s="6">
        <v>1</v>
      </c>
      <c r="T26" s="6">
        <v>1</v>
      </c>
      <c r="U26" s="6">
        <v>0.5</v>
      </c>
      <c r="V26" s="6">
        <v>0</v>
      </c>
      <c r="W26" s="6">
        <v>1</v>
      </c>
      <c r="X26" s="6">
        <v>1</v>
      </c>
      <c r="Y26" s="6">
        <v>0.5</v>
      </c>
      <c r="Z26" s="6">
        <v>0</v>
      </c>
      <c r="AA26" s="6">
        <v>0</v>
      </c>
      <c r="AB26" s="6">
        <v>3</v>
      </c>
      <c r="AC26" s="6">
        <v>3</v>
      </c>
      <c r="AD26" s="6">
        <v>2</v>
      </c>
      <c r="AE26" s="6">
        <v>3</v>
      </c>
      <c r="AF26" s="6">
        <v>2.5</v>
      </c>
      <c r="AG26" s="6">
        <v>3</v>
      </c>
      <c r="AH26" s="6">
        <v>6.5</v>
      </c>
      <c r="AI26">
        <f t="shared" si="2"/>
        <v>29</v>
      </c>
      <c r="AK26" s="7">
        <f t="shared" si="3"/>
        <v>57</v>
      </c>
    </row>
    <row r="27" spans="1:37" x14ac:dyDescent="0.25">
      <c r="A27">
        <v>15</v>
      </c>
      <c r="B27" s="6" t="s">
        <v>213</v>
      </c>
      <c r="C27" s="6" t="s">
        <v>214</v>
      </c>
      <c r="D27" s="6"/>
      <c r="E27" s="6">
        <v>1</v>
      </c>
      <c r="F27">
        <v>1</v>
      </c>
      <c r="G27">
        <v>1</v>
      </c>
      <c r="H27" s="6">
        <v>1</v>
      </c>
      <c r="I27" s="6">
        <v>1</v>
      </c>
      <c r="J27" s="6">
        <v>3.5</v>
      </c>
      <c r="K27" s="6">
        <v>4</v>
      </c>
      <c r="L27" s="6">
        <v>3</v>
      </c>
      <c r="M27" s="6">
        <v>6.5</v>
      </c>
      <c r="N27" s="1">
        <f t="shared" si="1"/>
        <v>22</v>
      </c>
      <c r="O27" s="6">
        <v>8</v>
      </c>
      <c r="P27" s="1">
        <v>7.5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0</v>
      </c>
      <c r="Y27" s="6">
        <v>0</v>
      </c>
      <c r="Z27" s="6">
        <v>1</v>
      </c>
      <c r="AA27" s="6">
        <v>4</v>
      </c>
      <c r="AB27" s="6">
        <v>4</v>
      </c>
      <c r="AC27" s="6">
        <v>3</v>
      </c>
      <c r="AD27" s="6">
        <v>3</v>
      </c>
      <c r="AE27" s="6">
        <v>3</v>
      </c>
      <c r="AF27" s="6">
        <v>4</v>
      </c>
      <c r="AG27" s="6">
        <v>7</v>
      </c>
      <c r="AH27" s="6">
        <v>7</v>
      </c>
      <c r="AI27">
        <f t="shared" si="2"/>
        <v>43</v>
      </c>
      <c r="AK27" s="7">
        <f t="shared" si="3"/>
        <v>84</v>
      </c>
    </row>
    <row r="28" spans="1:37" x14ac:dyDescent="0.25">
      <c r="A28">
        <v>16</v>
      </c>
      <c r="B28" s="6" t="s">
        <v>215</v>
      </c>
      <c r="C28" s="6" t="s">
        <v>216</v>
      </c>
      <c r="D28" s="6"/>
      <c r="E28" s="6">
        <v>0</v>
      </c>
      <c r="F28">
        <v>0</v>
      </c>
      <c r="G28">
        <v>0.5</v>
      </c>
      <c r="H28" s="6">
        <v>0</v>
      </c>
      <c r="I28">
        <v>0.5</v>
      </c>
      <c r="J28" s="6">
        <v>2</v>
      </c>
      <c r="K28" s="6">
        <v>3.5</v>
      </c>
      <c r="L28" s="6">
        <v>3</v>
      </c>
      <c r="M28" s="6">
        <v>6.5</v>
      </c>
      <c r="N28" s="1">
        <f t="shared" si="1"/>
        <v>16</v>
      </c>
      <c r="O28" s="6">
        <v>7.5</v>
      </c>
      <c r="P28" s="1">
        <v>6</v>
      </c>
      <c r="Q28" s="6">
        <v>1</v>
      </c>
      <c r="R28" s="6">
        <v>1</v>
      </c>
      <c r="S28" s="6">
        <v>1</v>
      </c>
      <c r="T28" s="6">
        <v>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4</v>
      </c>
      <c r="AB28" s="6">
        <v>3</v>
      </c>
      <c r="AC28" s="6">
        <v>3.5</v>
      </c>
      <c r="AD28" s="6">
        <v>3</v>
      </c>
      <c r="AE28" s="6">
        <v>1</v>
      </c>
      <c r="AF28" s="6">
        <v>2</v>
      </c>
      <c r="AG28" s="6">
        <v>7</v>
      </c>
      <c r="AH28" s="6">
        <v>7</v>
      </c>
      <c r="AI28">
        <f t="shared" si="2"/>
        <v>34.5</v>
      </c>
      <c r="AJ28" s="6">
        <v>1</v>
      </c>
      <c r="AK28" s="7">
        <f t="shared" si="3"/>
        <v>68</v>
      </c>
    </row>
    <row r="29" spans="1:37" x14ac:dyDescent="0.25">
      <c r="A29">
        <v>17</v>
      </c>
      <c r="B29" s="6" t="s">
        <v>217</v>
      </c>
      <c r="C29" s="6" t="s">
        <v>218</v>
      </c>
      <c r="D29" s="6"/>
      <c r="E29" s="6">
        <v>1</v>
      </c>
      <c r="F29">
        <v>1</v>
      </c>
      <c r="G29">
        <v>1</v>
      </c>
      <c r="H29" s="6">
        <v>1</v>
      </c>
      <c r="I29">
        <v>1</v>
      </c>
      <c r="J29" s="6">
        <v>3.5</v>
      </c>
      <c r="K29" s="6">
        <v>4</v>
      </c>
      <c r="L29" s="6">
        <v>4</v>
      </c>
      <c r="M29" s="6">
        <v>8</v>
      </c>
      <c r="N29" s="1">
        <f t="shared" si="1"/>
        <v>24.5</v>
      </c>
      <c r="O29" s="6">
        <v>10</v>
      </c>
      <c r="P29" s="1">
        <v>8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4</v>
      </c>
      <c r="AB29" s="6">
        <v>4</v>
      </c>
      <c r="AC29" s="6">
        <v>4</v>
      </c>
      <c r="AD29" s="6">
        <v>4</v>
      </c>
      <c r="AE29" s="6">
        <v>4</v>
      </c>
      <c r="AF29" s="6">
        <v>4</v>
      </c>
      <c r="AG29" s="6">
        <v>7.5</v>
      </c>
      <c r="AH29" s="6">
        <v>7.5</v>
      </c>
      <c r="AI29">
        <f t="shared" si="2"/>
        <v>49</v>
      </c>
      <c r="AJ29" s="8"/>
      <c r="AK29" s="7">
        <f t="shared" si="3"/>
        <v>96</v>
      </c>
    </row>
    <row r="30" spans="1:37" x14ac:dyDescent="0.25">
      <c r="A30">
        <v>18</v>
      </c>
      <c r="B30" s="6" t="s">
        <v>219</v>
      </c>
      <c r="C30" s="6" t="s">
        <v>220</v>
      </c>
      <c r="D30" s="6"/>
      <c r="E30" s="6">
        <v>1</v>
      </c>
      <c r="F30">
        <v>1</v>
      </c>
      <c r="G30">
        <v>1</v>
      </c>
      <c r="H30" s="6">
        <v>1</v>
      </c>
      <c r="I30" s="6">
        <v>1</v>
      </c>
      <c r="J30" s="6">
        <v>4</v>
      </c>
      <c r="K30" s="6">
        <v>4</v>
      </c>
      <c r="L30" s="6">
        <v>3.5</v>
      </c>
      <c r="M30" s="6">
        <v>7.5</v>
      </c>
      <c r="N30" s="1">
        <f t="shared" si="1"/>
        <v>24</v>
      </c>
      <c r="O30" s="6">
        <v>9</v>
      </c>
      <c r="P30" s="1">
        <v>8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4</v>
      </c>
      <c r="AB30" s="6">
        <v>4</v>
      </c>
      <c r="AC30" s="6">
        <v>4</v>
      </c>
      <c r="AD30" s="6">
        <v>4</v>
      </c>
      <c r="AE30" s="6">
        <v>4</v>
      </c>
      <c r="AF30" s="6">
        <v>4</v>
      </c>
      <c r="AG30" s="6">
        <v>7</v>
      </c>
      <c r="AH30" s="6">
        <v>7</v>
      </c>
      <c r="AI30">
        <f t="shared" si="2"/>
        <v>48</v>
      </c>
      <c r="AJ30" s="8"/>
      <c r="AK30" s="7">
        <f t="shared" si="3"/>
        <v>94</v>
      </c>
    </row>
    <row r="31" spans="1:37" x14ac:dyDescent="0.25">
      <c r="A31">
        <v>19</v>
      </c>
      <c r="B31" s="6" t="s">
        <v>221</v>
      </c>
      <c r="C31" s="6" t="s">
        <v>222</v>
      </c>
      <c r="D31" s="6"/>
      <c r="E31" s="6">
        <v>0</v>
      </c>
      <c r="F31">
        <v>0.5</v>
      </c>
      <c r="G31">
        <v>1</v>
      </c>
      <c r="H31" s="6">
        <v>0.5</v>
      </c>
      <c r="I31" s="6">
        <v>0.5</v>
      </c>
      <c r="J31" s="6">
        <v>0</v>
      </c>
      <c r="K31" s="6">
        <v>0</v>
      </c>
      <c r="L31" s="6">
        <v>3.5</v>
      </c>
      <c r="M31" s="6">
        <v>3</v>
      </c>
      <c r="N31" s="1">
        <f t="shared" si="1"/>
        <v>9</v>
      </c>
      <c r="O31" s="6">
        <v>8</v>
      </c>
      <c r="P31" s="1">
        <v>4</v>
      </c>
      <c r="Q31" s="6">
        <v>1</v>
      </c>
      <c r="R31" s="6">
        <v>0</v>
      </c>
      <c r="S31" s="6">
        <v>1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2</v>
      </c>
      <c r="AB31" s="6">
        <v>0</v>
      </c>
      <c r="AC31" s="6">
        <v>2</v>
      </c>
      <c r="AD31" s="6">
        <v>1.5</v>
      </c>
      <c r="AE31" s="6">
        <v>0</v>
      </c>
      <c r="AF31" s="6">
        <v>2</v>
      </c>
      <c r="AG31" s="6">
        <v>7</v>
      </c>
      <c r="AH31" s="6">
        <v>6</v>
      </c>
      <c r="AI31">
        <f t="shared" si="2"/>
        <v>22.5</v>
      </c>
      <c r="AJ31" s="8"/>
      <c r="AK31" s="7">
        <f t="shared" si="3"/>
        <v>44</v>
      </c>
    </row>
    <row r="32" spans="1:37" x14ac:dyDescent="0.25">
      <c r="A32">
        <v>20</v>
      </c>
      <c r="B32" s="6" t="s">
        <v>223</v>
      </c>
      <c r="C32" s="6" t="s">
        <v>224</v>
      </c>
      <c r="D32" s="6"/>
      <c r="E32" s="6">
        <v>1</v>
      </c>
      <c r="F32">
        <v>1</v>
      </c>
      <c r="G32">
        <v>1</v>
      </c>
      <c r="H32">
        <v>1</v>
      </c>
      <c r="I32">
        <v>1</v>
      </c>
      <c r="J32" s="6">
        <v>2.5</v>
      </c>
      <c r="K32" s="6">
        <v>3</v>
      </c>
      <c r="L32" s="6">
        <v>3</v>
      </c>
      <c r="M32" s="6">
        <v>7.5</v>
      </c>
      <c r="N32" s="1">
        <f t="shared" si="1"/>
        <v>21</v>
      </c>
      <c r="O32" s="6">
        <v>8</v>
      </c>
      <c r="P32" s="1">
        <v>3.5</v>
      </c>
      <c r="Q32" s="6">
        <v>0</v>
      </c>
      <c r="R32" s="6">
        <v>1</v>
      </c>
      <c r="S32" s="6">
        <v>1</v>
      </c>
      <c r="T32" s="6">
        <v>1</v>
      </c>
      <c r="U32" s="6">
        <v>0</v>
      </c>
      <c r="V32" s="6">
        <v>0.5</v>
      </c>
      <c r="W32" s="6">
        <v>0</v>
      </c>
      <c r="X32" s="6">
        <v>0</v>
      </c>
      <c r="Y32" s="6">
        <v>1</v>
      </c>
      <c r="Z32" s="6">
        <v>1</v>
      </c>
      <c r="AA32" s="6">
        <v>4</v>
      </c>
      <c r="AB32" s="6">
        <v>4</v>
      </c>
      <c r="AC32" s="6">
        <v>3</v>
      </c>
      <c r="AD32" s="6">
        <v>4</v>
      </c>
      <c r="AE32" s="6">
        <v>3</v>
      </c>
      <c r="AF32" s="6">
        <v>4</v>
      </c>
      <c r="AG32" s="6">
        <v>6</v>
      </c>
      <c r="AH32" s="6">
        <v>7</v>
      </c>
      <c r="AI32">
        <f t="shared" si="2"/>
        <v>40.5</v>
      </c>
      <c r="AJ32" s="8"/>
      <c r="AK32" s="7">
        <f t="shared" si="3"/>
        <v>80</v>
      </c>
    </row>
    <row r="33" spans="1:37" x14ac:dyDescent="0.25">
      <c r="A33">
        <v>21</v>
      </c>
      <c r="B33" s="6" t="s">
        <v>225</v>
      </c>
      <c r="C33" s="6" t="s">
        <v>226</v>
      </c>
      <c r="D33" s="6"/>
      <c r="E33" s="6">
        <v>1</v>
      </c>
      <c r="F33">
        <v>0.5</v>
      </c>
      <c r="G33">
        <v>1</v>
      </c>
      <c r="H33" s="6">
        <v>0</v>
      </c>
      <c r="I33" s="6">
        <v>0</v>
      </c>
      <c r="J33" s="6">
        <v>3</v>
      </c>
      <c r="K33" s="6">
        <v>3.5</v>
      </c>
      <c r="L33" s="6">
        <v>3.5</v>
      </c>
      <c r="M33" s="6">
        <v>7</v>
      </c>
      <c r="N33" s="1">
        <f t="shared" si="1"/>
        <v>19.5</v>
      </c>
      <c r="O33" s="6">
        <v>7.5</v>
      </c>
      <c r="P33" s="1">
        <v>7</v>
      </c>
      <c r="Q33" s="6">
        <v>0</v>
      </c>
      <c r="R33" s="6">
        <v>1</v>
      </c>
      <c r="S33" s="6">
        <v>1</v>
      </c>
      <c r="T33" s="6">
        <v>1</v>
      </c>
      <c r="U33" s="6">
        <v>0</v>
      </c>
      <c r="V33" s="6">
        <v>1</v>
      </c>
      <c r="W33" s="6">
        <v>0</v>
      </c>
      <c r="X33" s="6">
        <v>0</v>
      </c>
      <c r="Y33" s="6">
        <v>0</v>
      </c>
      <c r="Z33" s="6">
        <v>1</v>
      </c>
      <c r="AA33" s="6">
        <v>4</v>
      </c>
      <c r="AB33" s="6">
        <v>4</v>
      </c>
      <c r="AC33" s="6">
        <v>4</v>
      </c>
      <c r="AD33" s="6">
        <v>4</v>
      </c>
      <c r="AE33" s="6">
        <v>4</v>
      </c>
      <c r="AF33" s="6">
        <v>4</v>
      </c>
      <c r="AG33" s="6">
        <v>6</v>
      </c>
      <c r="AH33" s="6">
        <v>6</v>
      </c>
      <c r="AI33">
        <f t="shared" si="2"/>
        <v>41</v>
      </c>
      <c r="AJ33" s="8"/>
      <c r="AK33" s="7">
        <f t="shared" si="3"/>
        <v>81</v>
      </c>
    </row>
    <row r="34" spans="1:37" x14ac:dyDescent="0.25">
      <c r="A34">
        <v>22</v>
      </c>
      <c r="B34" s="6" t="s">
        <v>227</v>
      </c>
      <c r="C34" s="6" t="s">
        <v>228</v>
      </c>
      <c r="D34" s="6"/>
      <c r="E34" s="6">
        <v>0.5</v>
      </c>
      <c r="F34">
        <v>0</v>
      </c>
      <c r="G34">
        <v>0</v>
      </c>
      <c r="H34" s="6">
        <v>0</v>
      </c>
      <c r="I34" s="6">
        <v>0</v>
      </c>
      <c r="J34" s="6">
        <v>2</v>
      </c>
      <c r="K34" s="6">
        <v>0.5</v>
      </c>
      <c r="L34" s="6">
        <v>3</v>
      </c>
      <c r="M34" s="6">
        <v>4</v>
      </c>
      <c r="N34" s="1">
        <f t="shared" si="1"/>
        <v>10</v>
      </c>
      <c r="O34" s="6">
        <v>8</v>
      </c>
      <c r="P34" s="1">
        <v>5</v>
      </c>
      <c r="Q34" s="6">
        <v>1</v>
      </c>
      <c r="R34" s="6">
        <v>1</v>
      </c>
      <c r="S34" s="6">
        <v>1</v>
      </c>
      <c r="T34" s="6">
        <v>1</v>
      </c>
      <c r="U34" s="6">
        <v>0</v>
      </c>
      <c r="V34" s="6">
        <v>1</v>
      </c>
      <c r="W34" s="6">
        <v>0</v>
      </c>
      <c r="X34" s="6">
        <v>1</v>
      </c>
      <c r="Y34" s="6">
        <v>0</v>
      </c>
      <c r="Z34" s="6">
        <v>0</v>
      </c>
      <c r="AA34" s="6">
        <v>4</v>
      </c>
      <c r="AB34" s="6">
        <v>4</v>
      </c>
      <c r="AC34" s="6">
        <v>2</v>
      </c>
      <c r="AD34" s="6">
        <v>4</v>
      </c>
      <c r="AE34" s="6">
        <v>3</v>
      </c>
      <c r="AF34" s="6">
        <v>1</v>
      </c>
      <c r="AG34" s="6">
        <v>3</v>
      </c>
      <c r="AH34" s="6">
        <v>0</v>
      </c>
      <c r="AI34">
        <f t="shared" si="2"/>
        <v>27</v>
      </c>
      <c r="AJ34" s="8"/>
      <c r="AK34" s="7">
        <f t="shared" si="3"/>
        <v>52</v>
      </c>
    </row>
    <row r="35" spans="1:37" x14ac:dyDescent="0.25">
      <c r="A35">
        <v>23</v>
      </c>
      <c r="B35" s="6" t="s">
        <v>229</v>
      </c>
      <c r="C35" s="6" t="s">
        <v>230</v>
      </c>
      <c r="D35" s="6"/>
      <c r="E35" s="6">
        <v>1</v>
      </c>
      <c r="F35">
        <v>0.5</v>
      </c>
      <c r="G35">
        <v>1</v>
      </c>
      <c r="H35" s="6">
        <v>0.5</v>
      </c>
      <c r="I35">
        <v>0</v>
      </c>
      <c r="J35" s="6">
        <v>1.5</v>
      </c>
      <c r="K35" s="6">
        <v>3.5</v>
      </c>
      <c r="L35" s="6">
        <v>3.5</v>
      </c>
      <c r="M35" s="6">
        <v>7.5</v>
      </c>
      <c r="N35" s="1">
        <f t="shared" si="1"/>
        <v>19</v>
      </c>
      <c r="O35" s="6">
        <v>8.5</v>
      </c>
      <c r="P35" s="1">
        <v>6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0</v>
      </c>
      <c r="X35" s="6">
        <v>0</v>
      </c>
      <c r="Y35" s="6">
        <v>0</v>
      </c>
      <c r="Z35" s="6">
        <v>1</v>
      </c>
      <c r="AA35" s="6">
        <v>0</v>
      </c>
      <c r="AB35" s="6">
        <v>4</v>
      </c>
      <c r="AC35" s="6">
        <v>4</v>
      </c>
      <c r="AD35" s="6">
        <v>3</v>
      </c>
      <c r="AE35" s="6">
        <v>3</v>
      </c>
      <c r="AF35" s="6">
        <v>4</v>
      </c>
      <c r="AG35" s="6">
        <v>7</v>
      </c>
      <c r="AH35" s="6">
        <v>7</v>
      </c>
      <c r="AI35">
        <f t="shared" si="2"/>
        <v>39</v>
      </c>
      <c r="AK35" s="7">
        <f t="shared" si="3"/>
        <v>76</v>
      </c>
    </row>
    <row r="36" spans="1:37" x14ac:dyDescent="0.25">
      <c r="A36">
        <v>24</v>
      </c>
      <c r="B36" s="6" t="s">
        <v>231</v>
      </c>
      <c r="C36" s="6" t="s">
        <v>232</v>
      </c>
      <c r="D36" s="6"/>
      <c r="E36" s="6">
        <v>1</v>
      </c>
      <c r="F36">
        <v>1</v>
      </c>
      <c r="G36">
        <v>1</v>
      </c>
      <c r="H36" s="6">
        <v>0</v>
      </c>
      <c r="I36" s="6">
        <v>1</v>
      </c>
      <c r="J36" s="6">
        <v>3</v>
      </c>
      <c r="K36" s="6">
        <v>3.5</v>
      </c>
      <c r="L36" s="6">
        <v>3</v>
      </c>
      <c r="M36" s="6">
        <v>6.5</v>
      </c>
      <c r="N36" s="1">
        <f t="shared" si="1"/>
        <v>20</v>
      </c>
      <c r="O36" s="6">
        <v>7.5</v>
      </c>
      <c r="P36" s="1">
        <v>4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4</v>
      </c>
      <c r="AB36" s="6">
        <v>4</v>
      </c>
      <c r="AC36" s="6">
        <v>3</v>
      </c>
      <c r="AD36" s="6">
        <v>3</v>
      </c>
      <c r="AE36" s="6">
        <v>3</v>
      </c>
      <c r="AF36" s="6">
        <v>3</v>
      </c>
      <c r="AG36" s="6">
        <v>5</v>
      </c>
      <c r="AH36" s="6">
        <v>6</v>
      </c>
      <c r="AI36">
        <f t="shared" si="2"/>
        <v>41</v>
      </c>
      <c r="AJ36" s="8"/>
      <c r="AK36" s="7">
        <f t="shared" si="3"/>
        <v>80</v>
      </c>
    </row>
    <row r="37" spans="1:37" x14ac:dyDescent="0.25">
      <c r="A37">
        <v>25</v>
      </c>
      <c r="B37" s="6" t="s">
        <v>233</v>
      </c>
      <c r="C37" s="6" t="s">
        <v>234</v>
      </c>
      <c r="D37" s="6"/>
      <c r="E37" s="6">
        <v>0.5</v>
      </c>
      <c r="F37">
        <v>0.5</v>
      </c>
      <c r="G37">
        <v>0.5</v>
      </c>
      <c r="H37" s="6">
        <v>0.5</v>
      </c>
      <c r="I37" s="6">
        <v>0.5</v>
      </c>
      <c r="J37" s="6">
        <v>2</v>
      </c>
      <c r="K37" s="6">
        <v>3.5</v>
      </c>
      <c r="L37" s="6">
        <v>2.5</v>
      </c>
      <c r="M37" s="6">
        <v>6</v>
      </c>
      <c r="N37" s="1">
        <f t="shared" si="1"/>
        <v>16.5</v>
      </c>
      <c r="O37" s="6">
        <v>9</v>
      </c>
      <c r="P37" s="1">
        <v>5</v>
      </c>
      <c r="Q37" s="6">
        <v>1</v>
      </c>
      <c r="R37" s="6">
        <v>1</v>
      </c>
      <c r="S37" s="6">
        <v>1</v>
      </c>
      <c r="T37" s="6">
        <v>1</v>
      </c>
      <c r="U37" s="6">
        <v>0</v>
      </c>
      <c r="V37" s="6">
        <v>1</v>
      </c>
      <c r="W37" s="6">
        <v>0</v>
      </c>
      <c r="X37" s="6">
        <v>0</v>
      </c>
      <c r="Y37" s="6">
        <v>1</v>
      </c>
      <c r="Z37" s="6">
        <v>0</v>
      </c>
      <c r="AA37" s="6">
        <v>4</v>
      </c>
      <c r="AB37" s="6">
        <v>4</v>
      </c>
      <c r="AC37" s="6">
        <v>0</v>
      </c>
      <c r="AD37" s="6">
        <v>2.5</v>
      </c>
      <c r="AE37" s="6">
        <v>0</v>
      </c>
      <c r="AF37" s="6">
        <v>3</v>
      </c>
      <c r="AG37" s="6">
        <v>6</v>
      </c>
      <c r="AH37" s="6">
        <v>0</v>
      </c>
      <c r="AI37">
        <f t="shared" si="2"/>
        <v>25.5</v>
      </c>
      <c r="AJ37" s="8"/>
      <c r="AK37" s="9">
        <f>SUM(S37:AJ37)</f>
        <v>49</v>
      </c>
    </row>
    <row r="38" spans="1:37" x14ac:dyDescent="0.25">
      <c r="A38">
        <v>26</v>
      </c>
      <c r="B38" s="6" t="s">
        <v>235</v>
      </c>
      <c r="C38" s="6" t="s">
        <v>236</v>
      </c>
      <c r="D38" s="6"/>
      <c r="E38" s="6">
        <v>0.5</v>
      </c>
      <c r="F38">
        <v>0.5</v>
      </c>
      <c r="G38">
        <v>1</v>
      </c>
      <c r="H38" s="6">
        <v>1</v>
      </c>
      <c r="I38">
        <v>0.5</v>
      </c>
      <c r="J38" s="6">
        <v>2</v>
      </c>
      <c r="K38" s="6">
        <v>2.5</v>
      </c>
      <c r="L38" s="6">
        <v>2</v>
      </c>
      <c r="M38" s="6">
        <v>7</v>
      </c>
      <c r="N38" s="1">
        <f t="shared" si="1"/>
        <v>17</v>
      </c>
      <c r="O38" s="6">
        <v>8</v>
      </c>
      <c r="P38" s="1">
        <v>8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4</v>
      </c>
      <c r="AB38" s="6">
        <v>4</v>
      </c>
      <c r="AC38" s="6">
        <v>4</v>
      </c>
      <c r="AD38" s="6">
        <v>3.5</v>
      </c>
      <c r="AE38" s="6">
        <v>3.5</v>
      </c>
      <c r="AF38" s="6">
        <v>3</v>
      </c>
      <c r="AG38" s="6">
        <v>7</v>
      </c>
      <c r="AH38" s="6">
        <v>6.5</v>
      </c>
      <c r="AI38">
        <f t="shared" si="2"/>
        <v>45.5</v>
      </c>
      <c r="AJ38" s="8"/>
      <c r="AK38" s="9">
        <f t="shared" ref="AI38:AK90" si="4">SUM(S38:AJ38)</f>
        <v>89</v>
      </c>
    </row>
    <row r="39" spans="1:37" x14ac:dyDescent="0.25">
      <c r="A39">
        <v>27</v>
      </c>
      <c r="B39" s="6" t="s">
        <v>237</v>
      </c>
      <c r="C39" s="6" t="s">
        <v>238</v>
      </c>
      <c r="D39" s="6"/>
      <c r="E39" s="6">
        <v>0.5</v>
      </c>
      <c r="F39">
        <v>1</v>
      </c>
      <c r="G39">
        <v>0.5</v>
      </c>
      <c r="H39" s="6">
        <v>1</v>
      </c>
      <c r="I39" s="6">
        <v>0.5</v>
      </c>
      <c r="J39" s="6">
        <v>3.5</v>
      </c>
      <c r="K39" s="6">
        <v>3.5</v>
      </c>
      <c r="L39" s="6">
        <v>3.5</v>
      </c>
      <c r="M39" s="6">
        <v>7</v>
      </c>
      <c r="N39" s="1">
        <f t="shared" si="1"/>
        <v>21</v>
      </c>
      <c r="O39" s="6">
        <v>7.5</v>
      </c>
      <c r="P39" s="1">
        <v>6</v>
      </c>
      <c r="Q39" s="6">
        <v>1</v>
      </c>
      <c r="R39" s="6">
        <v>1</v>
      </c>
      <c r="S39" s="6">
        <v>1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2</v>
      </c>
      <c r="AB39" s="6">
        <v>4</v>
      </c>
      <c r="AC39" s="6">
        <v>4</v>
      </c>
      <c r="AD39" s="6">
        <v>4</v>
      </c>
      <c r="AE39" s="6">
        <v>3</v>
      </c>
      <c r="AF39" s="6">
        <v>4</v>
      </c>
      <c r="AG39" s="6">
        <v>8</v>
      </c>
      <c r="AH39" s="6">
        <v>8</v>
      </c>
      <c r="AI39">
        <f t="shared" si="2"/>
        <v>41</v>
      </c>
      <c r="AJ39" s="8"/>
      <c r="AK39" s="9">
        <f t="shared" si="4"/>
        <v>80</v>
      </c>
    </row>
    <row r="40" spans="1:37" x14ac:dyDescent="0.25">
      <c r="A40">
        <v>28</v>
      </c>
      <c r="B40" s="6" t="s">
        <v>239</v>
      </c>
      <c r="C40" s="6" t="s">
        <v>240</v>
      </c>
      <c r="D40" s="6"/>
      <c r="E40" s="6">
        <v>1</v>
      </c>
      <c r="F40">
        <v>1</v>
      </c>
      <c r="G40">
        <v>0.5</v>
      </c>
      <c r="H40" s="6">
        <v>1</v>
      </c>
      <c r="I40" s="6">
        <v>1</v>
      </c>
      <c r="J40" s="6">
        <v>3.5</v>
      </c>
      <c r="K40" s="6">
        <v>4</v>
      </c>
      <c r="L40" s="6">
        <v>4</v>
      </c>
      <c r="M40" s="6">
        <v>7.5</v>
      </c>
      <c r="N40" s="1">
        <f t="shared" si="1"/>
        <v>23.5</v>
      </c>
      <c r="O40" s="6">
        <v>9.5</v>
      </c>
      <c r="P40" s="1">
        <v>8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0</v>
      </c>
      <c r="Z40" s="6">
        <v>1</v>
      </c>
      <c r="AA40" s="6">
        <v>1</v>
      </c>
      <c r="AB40" s="6">
        <v>4</v>
      </c>
      <c r="AC40" s="6">
        <v>3.5</v>
      </c>
      <c r="AD40" s="6">
        <v>4</v>
      </c>
      <c r="AE40" s="6">
        <v>4</v>
      </c>
      <c r="AF40" s="6">
        <v>3.5</v>
      </c>
      <c r="AG40" s="6">
        <v>7.5</v>
      </c>
      <c r="AH40" s="6">
        <v>8</v>
      </c>
      <c r="AI40">
        <f t="shared" si="2"/>
        <v>44.5</v>
      </c>
      <c r="AJ40" s="8"/>
      <c r="AK40" s="7">
        <f t="shared" si="4"/>
        <v>87</v>
      </c>
    </row>
    <row r="41" spans="1:37" x14ac:dyDescent="0.25">
      <c r="A41">
        <v>29</v>
      </c>
      <c r="B41" s="6" t="s">
        <v>241</v>
      </c>
      <c r="C41" s="6" t="s">
        <v>242</v>
      </c>
      <c r="D41" s="6"/>
      <c r="E41" s="6">
        <v>1</v>
      </c>
      <c r="F41">
        <v>1</v>
      </c>
      <c r="G41">
        <v>1</v>
      </c>
      <c r="H41" s="6">
        <v>1</v>
      </c>
      <c r="I41">
        <v>0.5</v>
      </c>
      <c r="J41" s="6">
        <v>2</v>
      </c>
      <c r="K41" s="6">
        <v>3</v>
      </c>
      <c r="L41" s="6">
        <v>2.5</v>
      </c>
      <c r="M41" s="6">
        <v>7</v>
      </c>
      <c r="N41" s="1">
        <f t="shared" si="1"/>
        <v>19</v>
      </c>
      <c r="O41" s="6">
        <v>8</v>
      </c>
      <c r="P41" s="1">
        <v>5</v>
      </c>
      <c r="Q41" s="6" t="s">
        <v>341</v>
      </c>
      <c r="R41" s="6" t="s">
        <v>341</v>
      </c>
      <c r="S41" s="6" t="s">
        <v>341</v>
      </c>
      <c r="T41" s="6" t="s">
        <v>341</v>
      </c>
      <c r="U41" s="6" t="s">
        <v>341</v>
      </c>
      <c r="V41" s="6" t="s">
        <v>341</v>
      </c>
      <c r="W41" s="6" t="s">
        <v>341</v>
      </c>
      <c r="X41" s="6" t="s">
        <v>341</v>
      </c>
      <c r="Y41" s="6" t="s">
        <v>341</v>
      </c>
      <c r="Z41" s="6" t="s">
        <v>341</v>
      </c>
      <c r="AA41" s="6" t="s">
        <v>341</v>
      </c>
      <c r="AB41" s="6" t="s">
        <v>341</v>
      </c>
      <c r="AC41" s="6" t="s">
        <v>341</v>
      </c>
      <c r="AD41" s="6" t="s">
        <v>341</v>
      </c>
      <c r="AE41" s="6" t="s">
        <v>341</v>
      </c>
      <c r="AF41" s="6" t="s">
        <v>341</v>
      </c>
      <c r="AG41" s="6" t="s">
        <v>341</v>
      </c>
      <c r="AH41" s="6" t="s">
        <v>341</v>
      </c>
      <c r="AI41" t="s">
        <v>341</v>
      </c>
      <c r="AJ41" s="8"/>
      <c r="AK41" s="7">
        <f t="shared" si="4"/>
        <v>0</v>
      </c>
    </row>
    <row r="42" spans="1:37" x14ac:dyDescent="0.25">
      <c r="A42">
        <v>30</v>
      </c>
      <c r="B42" s="6" t="s">
        <v>243</v>
      </c>
      <c r="C42" s="6" t="s">
        <v>244</v>
      </c>
      <c r="D42" s="6"/>
      <c r="E42" s="6" t="s">
        <v>49</v>
      </c>
      <c r="F42" t="s">
        <v>49</v>
      </c>
      <c r="G42" t="s">
        <v>49</v>
      </c>
      <c r="H42" s="6" t="s">
        <v>49</v>
      </c>
      <c r="I42" s="6" t="s">
        <v>49</v>
      </c>
      <c r="J42" s="6" t="s">
        <v>49</v>
      </c>
      <c r="K42" s="6" t="s">
        <v>49</v>
      </c>
      <c r="L42" s="6" t="s">
        <v>49</v>
      </c>
      <c r="M42" s="6" t="s">
        <v>49</v>
      </c>
      <c r="N42" s="1" t="s">
        <v>49</v>
      </c>
      <c r="O42" s="6">
        <v>7.5</v>
      </c>
      <c r="P42" s="1" t="s">
        <v>49</v>
      </c>
      <c r="Q42" s="6" t="s">
        <v>341</v>
      </c>
      <c r="R42" s="6" t="s">
        <v>341</v>
      </c>
      <c r="S42" s="6" t="s">
        <v>341</v>
      </c>
      <c r="T42" s="6" t="s">
        <v>341</v>
      </c>
      <c r="U42" s="6" t="s">
        <v>341</v>
      </c>
      <c r="V42" s="6" t="s">
        <v>341</v>
      </c>
      <c r="W42" s="6" t="s">
        <v>341</v>
      </c>
      <c r="X42" s="6" t="s">
        <v>341</v>
      </c>
      <c r="Y42" s="6" t="s">
        <v>341</v>
      </c>
      <c r="Z42" s="6" t="s">
        <v>341</v>
      </c>
      <c r="AA42" s="6" t="s">
        <v>341</v>
      </c>
      <c r="AB42" s="6" t="s">
        <v>341</v>
      </c>
      <c r="AC42" s="6" t="s">
        <v>341</v>
      </c>
      <c r="AD42" s="6" t="s">
        <v>341</v>
      </c>
      <c r="AE42" s="6" t="s">
        <v>341</v>
      </c>
      <c r="AF42" s="6" t="s">
        <v>341</v>
      </c>
      <c r="AG42" s="6" t="s">
        <v>341</v>
      </c>
      <c r="AH42" s="6" t="s">
        <v>341</v>
      </c>
      <c r="AI42" t="s">
        <v>341</v>
      </c>
      <c r="AJ42" s="8"/>
      <c r="AK42" s="7">
        <f t="shared" si="4"/>
        <v>0</v>
      </c>
    </row>
    <row r="43" spans="1:37" x14ac:dyDescent="0.25">
      <c r="A43">
        <v>31</v>
      </c>
      <c r="B43" s="6" t="s">
        <v>245</v>
      </c>
      <c r="C43" s="6" t="s">
        <v>246</v>
      </c>
      <c r="D43" s="6"/>
      <c r="E43" s="6">
        <v>0.5</v>
      </c>
      <c r="F43">
        <v>0.5</v>
      </c>
      <c r="G43">
        <v>0.5</v>
      </c>
      <c r="H43" s="6">
        <v>0</v>
      </c>
      <c r="I43" s="6">
        <v>0</v>
      </c>
      <c r="J43" s="6">
        <v>2</v>
      </c>
      <c r="K43" s="6">
        <v>2.5</v>
      </c>
      <c r="L43" s="6">
        <v>2.5</v>
      </c>
      <c r="M43" s="6">
        <v>5.5</v>
      </c>
      <c r="N43" s="1">
        <f t="shared" si="1"/>
        <v>14</v>
      </c>
      <c r="O43" s="6">
        <v>8.5</v>
      </c>
      <c r="P43" s="1">
        <v>5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2</v>
      </c>
      <c r="AB43" s="6">
        <v>0.5</v>
      </c>
      <c r="AC43" s="6">
        <v>0</v>
      </c>
      <c r="AD43" s="6">
        <v>1</v>
      </c>
      <c r="AE43" s="6">
        <v>0</v>
      </c>
      <c r="AF43" s="6">
        <v>2</v>
      </c>
      <c r="AG43" s="6">
        <v>1</v>
      </c>
      <c r="AH43" s="6">
        <v>2.5</v>
      </c>
      <c r="AI43">
        <f t="shared" si="2"/>
        <v>9</v>
      </c>
      <c r="AJ43" s="8"/>
      <c r="AK43" s="7">
        <f t="shared" si="4"/>
        <v>18</v>
      </c>
    </row>
    <row r="44" spans="1:37" x14ac:dyDescent="0.25">
      <c r="A44">
        <v>32</v>
      </c>
      <c r="B44" s="6" t="s">
        <v>247</v>
      </c>
      <c r="C44" s="6" t="s">
        <v>248</v>
      </c>
      <c r="D44" s="6"/>
      <c r="E44" s="6">
        <v>1</v>
      </c>
      <c r="F44">
        <v>1</v>
      </c>
      <c r="G44">
        <v>1</v>
      </c>
      <c r="H44" s="6">
        <v>0.5</v>
      </c>
      <c r="I44">
        <v>1</v>
      </c>
      <c r="J44" s="6">
        <v>3.5</v>
      </c>
      <c r="K44" s="6">
        <v>2.5</v>
      </c>
      <c r="L44" s="6">
        <v>3</v>
      </c>
      <c r="M44" s="6">
        <v>7.5</v>
      </c>
      <c r="N44" s="1">
        <f t="shared" si="1"/>
        <v>21</v>
      </c>
      <c r="O44" s="6">
        <v>8</v>
      </c>
      <c r="P44" s="1">
        <v>7</v>
      </c>
      <c r="Q44" s="6">
        <v>0</v>
      </c>
      <c r="R44" s="6">
        <v>0.5</v>
      </c>
      <c r="S44" s="6">
        <v>0</v>
      </c>
      <c r="T44" s="6">
        <v>0.5</v>
      </c>
      <c r="U44" s="6">
        <v>0</v>
      </c>
      <c r="V44" s="6">
        <v>0</v>
      </c>
      <c r="W44" s="6">
        <v>0</v>
      </c>
      <c r="X44" s="6">
        <v>0</v>
      </c>
      <c r="Y44" s="6">
        <v>0.5</v>
      </c>
      <c r="Z44" s="6">
        <v>0</v>
      </c>
      <c r="AA44" s="6">
        <v>2.5</v>
      </c>
      <c r="AB44" s="6">
        <v>3</v>
      </c>
      <c r="AC44" s="6">
        <v>2.5</v>
      </c>
      <c r="AD44" s="6">
        <v>3</v>
      </c>
      <c r="AE44" s="6">
        <v>1</v>
      </c>
      <c r="AF44" s="6">
        <v>3.5</v>
      </c>
      <c r="AG44" s="6">
        <v>4.5</v>
      </c>
      <c r="AH44" s="6">
        <v>5</v>
      </c>
      <c r="AI44">
        <f t="shared" si="2"/>
        <v>26.5</v>
      </c>
      <c r="AJ44" s="8"/>
      <c r="AK44" s="7">
        <f t="shared" si="4"/>
        <v>52.5</v>
      </c>
    </row>
    <row r="45" spans="1:37" x14ac:dyDescent="0.25">
      <c r="A45">
        <v>33</v>
      </c>
      <c r="B45" s="6" t="s">
        <v>249</v>
      </c>
      <c r="C45" s="6" t="s">
        <v>250</v>
      </c>
      <c r="D45" s="6"/>
      <c r="E45" s="6">
        <v>1</v>
      </c>
      <c r="F45">
        <v>1</v>
      </c>
      <c r="G45">
        <v>1</v>
      </c>
      <c r="H45" s="6">
        <v>1</v>
      </c>
      <c r="I45">
        <v>1</v>
      </c>
      <c r="J45" s="6">
        <v>3.5</v>
      </c>
      <c r="K45" s="6">
        <v>2.5</v>
      </c>
      <c r="L45" s="6">
        <v>3.5</v>
      </c>
      <c r="M45" s="6">
        <v>7.5</v>
      </c>
      <c r="N45" s="1">
        <f t="shared" ref="N45:N88" si="5">SUM(E45:M45)</f>
        <v>22</v>
      </c>
      <c r="O45" s="6">
        <v>8</v>
      </c>
      <c r="P45" s="1">
        <v>7</v>
      </c>
      <c r="Q45" s="6">
        <v>1</v>
      </c>
      <c r="R45" s="6">
        <v>1</v>
      </c>
      <c r="S45" s="6">
        <v>1</v>
      </c>
      <c r="T45" s="6">
        <v>1</v>
      </c>
      <c r="U45" s="6">
        <v>0</v>
      </c>
      <c r="V45" s="6">
        <v>0</v>
      </c>
      <c r="W45" s="6">
        <v>1</v>
      </c>
      <c r="X45" s="6">
        <v>1</v>
      </c>
      <c r="Y45" s="6">
        <v>1</v>
      </c>
      <c r="Z45" s="6">
        <v>1</v>
      </c>
      <c r="AA45" s="6">
        <v>3</v>
      </c>
      <c r="AB45" s="6">
        <v>3</v>
      </c>
      <c r="AC45" s="6">
        <v>3.5</v>
      </c>
      <c r="AD45" s="6">
        <v>3</v>
      </c>
      <c r="AE45" s="6">
        <v>2.5</v>
      </c>
      <c r="AF45" s="6">
        <v>3</v>
      </c>
      <c r="AG45" s="6">
        <v>7</v>
      </c>
      <c r="AH45" s="6">
        <v>7</v>
      </c>
      <c r="AI45">
        <f t="shared" si="2"/>
        <v>40</v>
      </c>
      <c r="AJ45" s="8"/>
      <c r="AK45" s="7">
        <f t="shared" si="4"/>
        <v>78</v>
      </c>
    </row>
    <row r="46" spans="1:37" x14ac:dyDescent="0.25">
      <c r="A46">
        <v>34</v>
      </c>
      <c r="B46" s="6" t="s">
        <v>251</v>
      </c>
      <c r="C46" s="6" t="s">
        <v>252</v>
      </c>
      <c r="D46" s="6"/>
      <c r="E46" s="6">
        <v>1</v>
      </c>
      <c r="F46">
        <v>1</v>
      </c>
      <c r="G46">
        <v>1</v>
      </c>
      <c r="H46">
        <v>1</v>
      </c>
      <c r="I46">
        <v>0</v>
      </c>
      <c r="J46" s="6">
        <v>2.5</v>
      </c>
      <c r="K46" s="6">
        <v>3.5</v>
      </c>
      <c r="L46" s="6">
        <v>2</v>
      </c>
      <c r="M46" s="6">
        <v>4</v>
      </c>
      <c r="N46" s="1">
        <f t="shared" si="5"/>
        <v>16</v>
      </c>
      <c r="O46" s="6">
        <v>7.5</v>
      </c>
      <c r="P46" s="1">
        <v>5</v>
      </c>
      <c r="Q46" s="6">
        <v>1</v>
      </c>
      <c r="R46" s="6">
        <v>1</v>
      </c>
      <c r="S46" s="6">
        <v>0</v>
      </c>
      <c r="T46" s="6">
        <v>1</v>
      </c>
      <c r="U46" s="6">
        <v>0</v>
      </c>
      <c r="V46" s="6">
        <v>0</v>
      </c>
      <c r="W46" s="6">
        <v>1</v>
      </c>
      <c r="X46" s="6">
        <v>1</v>
      </c>
      <c r="Y46" s="6">
        <v>0</v>
      </c>
      <c r="Z46" s="6">
        <v>0</v>
      </c>
      <c r="AA46" s="6">
        <v>3</v>
      </c>
      <c r="AB46" s="6">
        <v>3</v>
      </c>
      <c r="AC46" s="6">
        <v>0</v>
      </c>
      <c r="AD46" s="6">
        <v>4</v>
      </c>
      <c r="AE46" s="6">
        <v>3</v>
      </c>
      <c r="AF46" s="6">
        <v>2</v>
      </c>
      <c r="AG46" s="6">
        <v>1</v>
      </c>
      <c r="AH46" s="6">
        <v>5</v>
      </c>
      <c r="AI46">
        <f t="shared" si="2"/>
        <v>26</v>
      </c>
      <c r="AJ46" s="8"/>
      <c r="AK46" s="7">
        <f t="shared" si="4"/>
        <v>50</v>
      </c>
    </row>
    <row r="47" spans="1:37" x14ac:dyDescent="0.25">
      <c r="A47">
        <v>35</v>
      </c>
      <c r="B47" s="6" t="s">
        <v>253</v>
      </c>
      <c r="C47" s="6" t="s">
        <v>254</v>
      </c>
      <c r="D47" s="6"/>
      <c r="E47" s="6">
        <v>1</v>
      </c>
      <c r="F47">
        <v>1</v>
      </c>
      <c r="G47">
        <v>1</v>
      </c>
      <c r="H47" s="6">
        <v>0.5</v>
      </c>
      <c r="I47">
        <v>1</v>
      </c>
      <c r="J47" s="6">
        <v>3</v>
      </c>
      <c r="K47" s="6">
        <v>4</v>
      </c>
      <c r="L47" s="6">
        <v>3.5</v>
      </c>
      <c r="M47" s="6">
        <v>8</v>
      </c>
      <c r="N47" s="1">
        <f t="shared" si="5"/>
        <v>23</v>
      </c>
      <c r="O47" s="6">
        <v>9</v>
      </c>
      <c r="P47" s="1">
        <v>9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4</v>
      </c>
      <c r="AB47" s="6">
        <v>4</v>
      </c>
      <c r="AC47" s="6">
        <v>4</v>
      </c>
      <c r="AD47" s="6">
        <v>2.5</v>
      </c>
      <c r="AE47" s="6">
        <v>3.5</v>
      </c>
      <c r="AF47" s="6">
        <v>3.5</v>
      </c>
      <c r="AG47" s="6">
        <v>7.5</v>
      </c>
      <c r="AH47" s="6">
        <v>7.5</v>
      </c>
      <c r="AI47">
        <f t="shared" si="2"/>
        <v>46.5</v>
      </c>
      <c r="AJ47" s="8"/>
      <c r="AK47" s="7">
        <f t="shared" si="4"/>
        <v>91</v>
      </c>
    </row>
    <row r="48" spans="1:37" x14ac:dyDescent="0.25">
      <c r="A48">
        <v>36</v>
      </c>
      <c r="B48" s="6" t="s">
        <v>255</v>
      </c>
      <c r="C48" s="6" t="s">
        <v>256</v>
      </c>
      <c r="D48" s="6"/>
      <c r="E48" s="6">
        <v>0</v>
      </c>
      <c r="F48">
        <v>0</v>
      </c>
      <c r="G48">
        <v>0.5</v>
      </c>
      <c r="H48" s="6">
        <v>0</v>
      </c>
      <c r="I48" s="6">
        <v>0</v>
      </c>
      <c r="J48" s="6">
        <v>0</v>
      </c>
      <c r="K48" s="6">
        <v>4</v>
      </c>
      <c r="L48" s="6">
        <v>3.5</v>
      </c>
      <c r="M48" s="6">
        <v>5</v>
      </c>
      <c r="N48" s="1">
        <f t="shared" si="5"/>
        <v>13</v>
      </c>
      <c r="O48" s="6">
        <v>7.5</v>
      </c>
      <c r="P48" s="1">
        <v>7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4</v>
      </c>
      <c r="AC48" s="6">
        <v>3.5</v>
      </c>
      <c r="AD48" s="6">
        <v>3</v>
      </c>
      <c r="AE48" s="6">
        <v>1</v>
      </c>
      <c r="AF48" s="6">
        <v>2.5</v>
      </c>
      <c r="AG48" s="6">
        <v>5</v>
      </c>
      <c r="AH48" s="6">
        <v>7</v>
      </c>
      <c r="AI48">
        <f t="shared" si="2"/>
        <v>27</v>
      </c>
      <c r="AJ48" s="8"/>
      <c r="AK48" s="7">
        <f t="shared" si="4"/>
        <v>53</v>
      </c>
    </row>
    <row r="49" spans="1:37" x14ac:dyDescent="0.25">
      <c r="A49">
        <v>37</v>
      </c>
      <c r="B49" s="6" t="s">
        <v>257</v>
      </c>
      <c r="C49" s="6" t="s">
        <v>258</v>
      </c>
      <c r="D49" s="6"/>
      <c r="E49" s="6">
        <v>1</v>
      </c>
      <c r="F49">
        <v>1</v>
      </c>
      <c r="G49">
        <v>0.5</v>
      </c>
      <c r="H49" s="6">
        <v>1</v>
      </c>
      <c r="I49">
        <v>1</v>
      </c>
      <c r="J49" s="6">
        <v>4</v>
      </c>
      <c r="K49" s="6">
        <v>2.5</v>
      </c>
      <c r="L49" s="6">
        <v>3</v>
      </c>
      <c r="M49" s="6">
        <v>6.5</v>
      </c>
      <c r="N49" s="1">
        <f t="shared" si="5"/>
        <v>20.5</v>
      </c>
      <c r="O49" s="6">
        <v>7.5</v>
      </c>
      <c r="P49" s="1">
        <v>8</v>
      </c>
      <c r="Q49" s="6">
        <v>1</v>
      </c>
      <c r="R49" s="6">
        <v>1</v>
      </c>
      <c r="S49" s="6">
        <v>0.5</v>
      </c>
      <c r="T49" s="6">
        <v>1</v>
      </c>
      <c r="U49" s="6">
        <v>1</v>
      </c>
      <c r="V49" s="6">
        <v>0.5</v>
      </c>
      <c r="W49" s="6">
        <v>0.5</v>
      </c>
      <c r="X49" s="6">
        <v>1</v>
      </c>
      <c r="Y49" s="6">
        <v>1</v>
      </c>
      <c r="Z49" s="6">
        <v>1</v>
      </c>
      <c r="AA49" s="6">
        <v>3.5</v>
      </c>
      <c r="AB49" s="6">
        <v>2</v>
      </c>
      <c r="AC49" s="6">
        <v>3.5</v>
      </c>
      <c r="AD49" s="6">
        <v>2</v>
      </c>
      <c r="AE49" s="6">
        <v>2</v>
      </c>
      <c r="AF49" s="6">
        <v>1</v>
      </c>
      <c r="AG49" s="6">
        <v>6.5</v>
      </c>
      <c r="AH49" s="6">
        <v>8</v>
      </c>
      <c r="AI49">
        <f t="shared" si="2"/>
        <v>37</v>
      </c>
      <c r="AJ49" s="8"/>
      <c r="AK49" s="7">
        <f t="shared" si="4"/>
        <v>72</v>
      </c>
    </row>
    <row r="50" spans="1:37" x14ac:dyDescent="0.25">
      <c r="A50">
        <v>38</v>
      </c>
      <c r="B50" s="6" t="s">
        <v>259</v>
      </c>
      <c r="C50" s="6" t="s">
        <v>260</v>
      </c>
      <c r="D50" s="6"/>
      <c r="E50" s="6">
        <v>1</v>
      </c>
      <c r="F50">
        <v>1</v>
      </c>
      <c r="G50">
        <v>1</v>
      </c>
      <c r="H50" s="6">
        <v>0.5</v>
      </c>
      <c r="I50" s="6">
        <v>1</v>
      </c>
      <c r="J50" s="6">
        <v>3.5</v>
      </c>
      <c r="K50" s="6">
        <v>2</v>
      </c>
      <c r="L50" s="6">
        <v>4</v>
      </c>
      <c r="M50" s="6">
        <v>6</v>
      </c>
      <c r="N50" s="1">
        <f t="shared" si="5"/>
        <v>20</v>
      </c>
      <c r="O50" s="6">
        <v>8</v>
      </c>
      <c r="P50" s="1">
        <v>4.5</v>
      </c>
      <c r="Q50" s="6">
        <v>1</v>
      </c>
      <c r="R50" s="6">
        <v>1</v>
      </c>
      <c r="S50" s="6">
        <v>1</v>
      </c>
      <c r="T50" s="6">
        <v>1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4</v>
      </c>
      <c r="AB50" s="6">
        <v>4</v>
      </c>
      <c r="AC50" s="6">
        <v>4</v>
      </c>
      <c r="AD50" s="6">
        <v>4</v>
      </c>
      <c r="AE50" s="6">
        <v>3</v>
      </c>
      <c r="AF50" s="6">
        <v>0</v>
      </c>
      <c r="AG50" s="6">
        <v>7</v>
      </c>
      <c r="AH50" s="6">
        <v>6.5</v>
      </c>
      <c r="AI50">
        <f t="shared" si="2"/>
        <v>36.5</v>
      </c>
      <c r="AJ50" s="8"/>
      <c r="AK50" s="7">
        <f t="shared" si="4"/>
        <v>71</v>
      </c>
    </row>
    <row r="51" spans="1:37" x14ac:dyDescent="0.25">
      <c r="A51">
        <v>39</v>
      </c>
      <c r="B51" s="6" t="s">
        <v>261</v>
      </c>
      <c r="C51" s="6" t="s">
        <v>262</v>
      </c>
      <c r="D51" s="6"/>
      <c r="E51" s="6">
        <v>0.5</v>
      </c>
      <c r="F51">
        <v>0.5</v>
      </c>
      <c r="G51">
        <v>0.5</v>
      </c>
      <c r="H51" s="6">
        <v>0.5</v>
      </c>
      <c r="I51" s="6">
        <v>1</v>
      </c>
      <c r="J51" s="6">
        <v>3.5</v>
      </c>
      <c r="K51" s="6">
        <v>3</v>
      </c>
      <c r="L51" s="6">
        <v>3.5</v>
      </c>
      <c r="M51" s="6">
        <v>6</v>
      </c>
      <c r="N51" s="1">
        <f t="shared" si="5"/>
        <v>19</v>
      </c>
      <c r="O51" s="6">
        <v>8</v>
      </c>
      <c r="P51" s="1">
        <v>2</v>
      </c>
      <c r="Q51" s="6">
        <v>0</v>
      </c>
      <c r="R51" s="6">
        <v>1</v>
      </c>
      <c r="S51" s="6">
        <v>1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2</v>
      </c>
      <c r="AB51" s="6">
        <v>3</v>
      </c>
      <c r="AC51" s="6">
        <v>4</v>
      </c>
      <c r="AD51" s="6">
        <v>2.5</v>
      </c>
      <c r="AE51" s="6">
        <v>3</v>
      </c>
      <c r="AF51" s="6">
        <v>3</v>
      </c>
      <c r="AG51" s="6">
        <v>7.5</v>
      </c>
      <c r="AH51" s="6">
        <v>7.5</v>
      </c>
      <c r="AI51">
        <f t="shared" si="2"/>
        <v>35.5</v>
      </c>
      <c r="AJ51" s="8"/>
      <c r="AK51" s="7">
        <f t="shared" si="4"/>
        <v>70</v>
      </c>
    </row>
    <row r="52" spans="1:37" x14ac:dyDescent="0.25">
      <c r="A52">
        <v>40</v>
      </c>
      <c r="B52" s="6" t="s">
        <v>263</v>
      </c>
      <c r="C52" s="6" t="s">
        <v>264</v>
      </c>
      <c r="D52" s="6"/>
      <c r="E52" s="6">
        <v>1</v>
      </c>
      <c r="F52">
        <v>0.5</v>
      </c>
      <c r="G52">
        <v>0.5</v>
      </c>
      <c r="H52" s="6">
        <v>0</v>
      </c>
      <c r="I52" s="6">
        <v>1</v>
      </c>
      <c r="J52" s="6">
        <v>2.5</v>
      </c>
      <c r="K52" s="6">
        <v>3</v>
      </c>
      <c r="L52" s="6">
        <v>2.5</v>
      </c>
      <c r="M52" s="6">
        <v>6.5</v>
      </c>
      <c r="N52" s="1">
        <f t="shared" si="5"/>
        <v>17.5</v>
      </c>
      <c r="O52" s="6">
        <v>7.5</v>
      </c>
      <c r="P52" s="1">
        <v>2</v>
      </c>
      <c r="Q52" s="6">
        <v>1</v>
      </c>
      <c r="R52" s="6">
        <v>1</v>
      </c>
      <c r="S52" s="6">
        <v>0</v>
      </c>
      <c r="T52" s="6">
        <v>1</v>
      </c>
      <c r="U52" s="6">
        <v>0</v>
      </c>
      <c r="V52" s="6">
        <v>1</v>
      </c>
      <c r="W52" s="6">
        <v>0</v>
      </c>
      <c r="X52" s="6">
        <v>1</v>
      </c>
      <c r="Y52" s="6">
        <v>0</v>
      </c>
      <c r="Z52" s="6">
        <v>0</v>
      </c>
      <c r="AA52" s="6">
        <v>2.5</v>
      </c>
      <c r="AB52" s="6">
        <v>4</v>
      </c>
      <c r="AC52" s="6">
        <v>4</v>
      </c>
      <c r="AD52" s="6">
        <v>3</v>
      </c>
      <c r="AE52" s="6">
        <v>0</v>
      </c>
      <c r="AF52" s="6">
        <v>3</v>
      </c>
      <c r="AG52" s="6">
        <v>7</v>
      </c>
      <c r="AH52" s="6">
        <v>7</v>
      </c>
      <c r="AI52">
        <f t="shared" si="2"/>
        <v>35.5</v>
      </c>
      <c r="AJ52" s="8"/>
      <c r="AK52" s="7">
        <f t="shared" si="4"/>
        <v>69</v>
      </c>
    </row>
    <row r="53" spans="1:37" x14ac:dyDescent="0.25">
      <c r="A53">
        <v>41</v>
      </c>
      <c r="B53" s="6" t="s">
        <v>265</v>
      </c>
      <c r="C53" s="6" t="s">
        <v>266</v>
      </c>
      <c r="D53" s="6"/>
      <c r="E53" s="6">
        <v>1</v>
      </c>
      <c r="F53">
        <v>1</v>
      </c>
      <c r="G53">
        <v>1</v>
      </c>
      <c r="H53" s="6">
        <v>0</v>
      </c>
      <c r="I53" s="6">
        <v>1</v>
      </c>
      <c r="J53" s="6">
        <v>2</v>
      </c>
      <c r="K53" s="6">
        <v>3.5</v>
      </c>
      <c r="L53" s="6">
        <v>3</v>
      </c>
      <c r="M53" s="6">
        <v>5.5</v>
      </c>
      <c r="N53" s="1">
        <f t="shared" si="5"/>
        <v>18</v>
      </c>
      <c r="O53" s="6">
        <v>7.5</v>
      </c>
      <c r="P53" s="1">
        <v>5</v>
      </c>
      <c r="Q53" s="6">
        <v>1</v>
      </c>
      <c r="R53" s="6">
        <v>1</v>
      </c>
      <c r="S53" s="6">
        <v>1</v>
      </c>
      <c r="T53" s="6">
        <v>0</v>
      </c>
      <c r="U53" s="6">
        <v>1</v>
      </c>
      <c r="V53" s="6">
        <v>1</v>
      </c>
      <c r="W53" s="6">
        <v>1</v>
      </c>
      <c r="X53" s="6">
        <v>0</v>
      </c>
      <c r="Y53" s="6">
        <v>1</v>
      </c>
      <c r="Z53" s="6">
        <v>0</v>
      </c>
      <c r="AA53" s="6">
        <v>3</v>
      </c>
      <c r="AB53" s="6">
        <v>4</v>
      </c>
      <c r="AC53" s="6">
        <v>0</v>
      </c>
      <c r="AD53" s="6">
        <v>2</v>
      </c>
      <c r="AE53" s="6">
        <v>3.5</v>
      </c>
      <c r="AF53" s="6">
        <v>4</v>
      </c>
      <c r="AG53" s="6">
        <v>6</v>
      </c>
      <c r="AH53" s="6">
        <v>7</v>
      </c>
      <c r="AI53">
        <f t="shared" si="2"/>
        <v>36.5</v>
      </c>
      <c r="AJ53" s="8"/>
      <c r="AK53" s="7">
        <f t="shared" si="4"/>
        <v>71</v>
      </c>
    </row>
    <row r="54" spans="1:37" x14ac:dyDescent="0.25">
      <c r="A54">
        <v>42</v>
      </c>
      <c r="B54" s="6" t="s">
        <v>267</v>
      </c>
      <c r="C54" s="6" t="s">
        <v>268</v>
      </c>
      <c r="D54" s="6"/>
      <c r="E54" s="6">
        <v>1</v>
      </c>
      <c r="F54">
        <v>1</v>
      </c>
      <c r="G54">
        <v>1</v>
      </c>
      <c r="H54" s="6">
        <v>1</v>
      </c>
      <c r="I54" s="6">
        <v>0.5</v>
      </c>
      <c r="J54" s="6">
        <v>3.5</v>
      </c>
      <c r="K54" s="6">
        <v>3.5</v>
      </c>
      <c r="L54" s="6">
        <v>4</v>
      </c>
      <c r="M54" s="6">
        <v>7.5</v>
      </c>
      <c r="N54" s="1">
        <f t="shared" si="5"/>
        <v>23</v>
      </c>
      <c r="O54" s="6">
        <v>9</v>
      </c>
      <c r="P54" s="1">
        <v>5</v>
      </c>
      <c r="Q54" s="6">
        <v>1</v>
      </c>
      <c r="R54" s="6">
        <v>1</v>
      </c>
      <c r="S54" s="6">
        <v>1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1</v>
      </c>
      <c r="Z54" s="6">
        <v>1</v>
      </c>
      <c r="AA54" s="6">
        <v>4</v>
      </c>
      <c r="AB54" s="6">
        <v>4</v>
      </c>
      <c r="AC54" s="6">
        <v>3.5</v>
      </c>
      <c r="AD54" s="6">
        <v>4</v>
      </c>
      <c r="AE54" s="6">
        <v>3.5</v>
      </c>
      <c r="AF54" s="6">
        <v>0</v>
      </c>
      <c r="AG54" s="6">
        <v>8</v>
      </c>
      <c r="AH54" s="6">
        <v>8</v>
      </c>
      <c r="AI54">
        <f t="shared" si="2"/>
        <v>41</v>
      </c>
      <c r="AJ54" s="8"/>
      <c r="AK54" s="7">
        <f t="shared" si="4"/>
        <v>80</v>
      </c>
    </row>
    <row r="55" spans="1:37" x14ac:dyDescent="0.25">
      <c r="A55">
        <v>43</v>
      </c>
      <c r="B55" s="6" t="s">
        <v>269</v>
      </c>
      <c r="C55" s="6" t="s">
        <v>270</v>
      </c>
      <c r="D55" s="6"/>
      <c r="E55" s="6">
        <v>1</v>
      </c>
      <c r="F55">
        <v>1</v>
      </c>
      <c r="G55">
        <v>1</v>
      </c>
      <c r="H55" s="6">
        <v>0.5</v>
      </c>
      <c r="I55" s="6">
        <v>0.5</v>
      </c>
      <c r="J55" s="6">
        <v>3.5</v>
      </c>
      <c r="K55" s="6">
        <v>3</v>
      </c>
      <c r="L55" s="6">
        <v>4</v>
      </c>
      <c r="M55" s="6">
        <v>7.5</v>
      </c>
      <c r="N55" s="1">
        <f t="shared" si="5"/>
        <v>22</v>
      </c>
      <c r="O55" s="6">
        <v>9</v>
      </c>
      <c r="P55" s="1">
        <v>5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4</v>
      </c>
      <c r="AB55" s="6">
        <v>4</v>
      </c>
      <c r="AC55" s="6">
        <v>4</v>
      </c>
      <c r="AD55" s="6">
        <v>4</v>
      </c>
      <c r="AE55" s="6">
        <v>3.5</v>
      </c>
      <c r="AF55" s="6">
        <v>3.5</v>
      </c>
      <c r="AG55" s="6">
        <v>7</v>
      </c>
      <c r="AH55" s="6">
        <v>8</v>
      </c>
      <c r="AI55">
        <f t="shared" si="2"/>
        <v>48</v>
      </c>
      <c r="AJ55" s="8"/>
      <c r="AK55" s="7">
        <f t="shared" si="4"/>
        <v>94</v>
      </c>
    </row>
    <row r="56" spans="1:37" x14ac:dyDescent="0.25">
      <c r="A56">
        <v>44</v>
      </c>
      <c r="B56" s="6" t="s">
        <v>271</v>
      </c>
      <c r="C56" s="6" t="s">
        <v>272</v>
      </c>
      <c r="D56" s="6"/>
      <c r="E56" s="6">
        <v>1</v>
      </c>
      <c r="F56">
        <v>1</v>
      </c>
      <c r="G56">
        <v>1</v>
      </c>
      <c r="H56" s="6">
        <v>0</v>
      </c>
      <c r="I56" s="6">
        <v>1</v>
      </c>
      <c r="J56" s="6">
        <v>2.5</v>
      </c>
      <c r="K56" s="6">
        <v>2.5</v>
      </c>
      <c r="L56" s="6">
        <v>2</v>
      </c>
      <c r="M56" s="6">
        <v>7</v>
      </c>
      <c r="N56" s="1">
        <f t="shared" si="5"/>
        <v>18</v>
      </c>
      <c r="O56" s="6">
        <v>8</v>
      </c>
      <c r="P56" s="1">
        <v>3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0</v>
      </c>
      <c r="W56" s="6">
        <v>0</v>
      </c>
      <c r="X56" s="6">
        <v>1</v>
      </c>
      <c r="Y56" s="6">
        <v>0</v>
      </c>
      <c r="Z56" s="6">
        <v>0</v>
      </c>
      <c r="AA56" s="6">
        <v>4</v>
      </c>
      <c r="AB56" s="6">
        <v>4</v>
      </c>
      <c r="AC56" s="6">
        <v>3.5</v>
      </c>
      <c r="AD56" s="6">
        <v>3.5</v>
      </c>
      <c r="AE56" s="6">
        <v>3</v>
      </c>
      <c r="AF56" s="6">
        <v>4</v>
      </c>
      <c r="AG56" s="6">
        <v>6.5</v>
      </c>
      <c r="AH56" s="6">
        <v>6.5</v>
      </c>
      <c r="AI56">
        <f t="shared" si="2"/>
        <v>41</v>
      </c>
      <c r="AJ56" s="8"/>
      <c r="AK56" s="7">
        <f t="shared" si="4"/>
        <v>80</v>
      </c>
    </row>
    <row r="57" spans="1:37" x14ac:dyDescent="0.25">
      <c r="A57">
        <v>45</v>
      </c>
      <c r="B57" s="6" t="s">
        <v>273</v>
      </c>
      <c r="C57" s="6" t="s">
        <v>274</v>
      </c>
      <c r="D57" s="6"/>
      <c r="E57" s="6">
        <v>0.5</v>
      </c>
      <c r="F57">
        <v>0.5</v>
      </c>
      <c r="G57">
        <v>0</v>
      </c>
      <c r="H57" s="6">
        <v>0.5</v>
      </c>
      <c r="I57" s="6">
        <v>1</v>
      </c>
      <c r="J57" s="6">
        <v>3</v>
      </c>
      <c r="K57" s="6">
        <v>1</v>
      </c>
      <c r="L57" s="6">
        <v>1</v>
      </c>
      <c r="M57" s="6">
        <v>3</v>
      </c>
      <c r="N57" s="1">
        <f t="shared" si="5"/>
        <v>10.5</v>
      </c>
      <c r="O57" s="6">
        <v>6</v>
      </c>
      <c r="P57" s="1">
        <v>0</v>
      </c>
      <c r="Q57" s="6">
        <v>1</v>
      </c>
      <c r="R57" s="6">
        <v>1</v>
      </c>
      <c r="S57" s="6">
        <v>1</v>
      </c>
      <c r="T57" s="6">
        <v>1</v>
      </c>
      <c r="U57" s="6">
        <v>0</v>
      </c>
      <c r="V57" s="6">
        <v>0</v>
      </c>
      <c r="W57" s="6">
        <v>1</v>
      </c>
      <c r="X57" s="6">
        <v>1</v>
      </c>
      <c r="Y57" s="6">
        <v>0</v>
      </c>
      <c r="Z57" s="6">
        <v>0</v>
      </c>
      <c r="AA57" s="6">
        <v>2.5</v>
      </c>
      <c r="AB57" s="6">
        <v>2.5</v>
      </c>
      <c r="AC57" s="6">
        <v>1</v>
      </c>
      <c r="AD57" s="6">
        <v>0</v>
      </c>
      <c r="AE57" s="6">
        <v>0</v>
      </c>
      <c r="AF57" s="6">
        <v>2</v>
      </c>
      <c r="AG57" s="6">
        <v>3</v>
      </c>
      <c r="AH57" s="6">
        <v>0</v>
      </c>
      <c r="AI57">
        <f t="shared" si="2"/>
        <v>17</v>
      </c>
      <c r="AJ57" s="8"/>
      <c r="AK57" s="7">
        <f t="shared" si="4"/>
        <v>32</v>
      </c>
    </row>
    <row r="58" spans="1:37" x14ac:dyDescent="0.25">
      <c r="A58">
        <v>46</v>
      </c>
      <c r="B58" s="6" t="s">
        <v>47</v>
      </c>
      <c r="C58" s="6" t="s">
        <v>275</v>
      </c>
      <c r="D58" s="6"/>
      <c r="E58" s="6">
        <v>1</v>
      </c>
      <c r="F58">
        <v>1</v>
      </c>
      <c r="G58">
        <v>1</v>
      </c>
      <c r="H58" s="6">
        <v>1</v>
      </c>
      <c r="I58" s="6">
        <v>1</v>
      </c>
      <c r="J58" s="6">
        <v>4</v>
      </c>
      <c r="K58" s="6">
        <v>4</v>
      </c>
      <c r="L58" s="6">
        <v>4</v>
      </c>
      <c r="M58" s="6">
        <v>7</v>
      </c>
      <c r="N58" s="1">
        <f t="shared" si="5"/>
        <v>24</v>
      </c>
      <c r="O58" s="6">
        <v>10</v>
      </c>
      <c r="P58" s="1">
        <v>7.5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4</v>
      </c>
      <c r="AB58" s="6">
        <v>4</v>
      </c>
      <c r="AC58" s="6">
        <v>4</v>
      </c>
      <c r="AD58" s="6">
        <v>4</v>
      </c>
      <c r="AE58" s="6">
        <v>4</v>
      </c>
      <c r="AF58" s="6">
        <v>4</v>
      </c>
      <c r="AG58" s="6">
        <v>7.5</v>
      </c>
      <c r="AH58" s="6">
        <v>7.5</v>
      </c>
      <c r="AI58">
        <f t="shared" si="2"/>
        <v>49</v>
      </c>
      <c r="AJ58" s="8"/>
      <c r="AK58" s="7">
        <f t="shared" si="4"/>
        <v>96</v>
      </c>
    </row>
    <row r="59" spans="1:37" x14ac:dyDescent="0.25">
      <c r="A59">
        <v>47</v>
      </c>
      <c r="B59" s="6" t="s">
        <v>276</v>
      </c>
      <c r="C59" s="6" t="s">
        <v>277</v>
      </c>
      <c r="D59" s="6"/>
      <c r="E59" s="6">
        <v>1</v>
      </c>
      <c r="F59">
        <v>0</v>
      </c>
      <c r="G59">
        <v>0</v>
      </c>
      <c r="H59" s="6">
        <v>0.5</v>
      </c>
      <c r="I59" s="6">
        <v>0</v>
      </c>
      <c r="J59" s="6">
        <v>3.5</v>
      </c>
      <c r="K59" s="6">
        <v>1.5</v>
      </c>
      <c r="L59" s="6">
        <v>2</v>
      </c>
      <c r="M59" s="6">
        <v>7</v>
      </c>
      <c r="N59" s="1">
        <f t="shared" si="5"/>
        <v>15.5</v>
      </c>
      <c r="O59" s="6">
        <v>7.5</v>
      </c>
      <c r="P59" s="1">
        <v>2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4</v>
      </c>
      <c r="AB59" s="6">
        <v>3.5</v>
      </c>
      <c r="AC59" s="6">
        <v>4</v>
      </c>
      <c r="AD59" s="6">
        <v>3</v>
      </c>
      <c r="AE59" s="6">
        <v>0</v>
      </c>
      <c r="AF59" s="6">
        <v>3.5</v>
      </c>
      <c r="AG59" s="6">
        <v>8</v>
      </c>
      <c r="AH59" s="6">
        <v>7</v>
      </c>
      <c r="AI59">
        <f t="shared" si="2"/>
        <v>43</v>
      </c>
      <c r="AJ59" s="8"/>
      <c r="AK59" s="7">
        <f t="shared" si="4"/>
        <v>84</v>
      </c>
    </row>
    <row r="60" spans="1:37" x14ac:dyDescent="0.25">
      <c r="A60">
        <v>48</v>
      </c>
      <c r="B60" s="6" t="s">
        <v>185</v>
      </c>
      <c r="C60" s="6" t="s">
        <v>278</v>
      </c>
      <c r="D60" s="6"/>
      <c r="E60" s="6">
        <v>0.5</v>
      </c>
      <c r="F60">
        <v>0.5</v>
      </c>
      <c r="G60">
        <v>0.5</v>
      </c>
      <c r="H60" s="6">
        <v>0</v>
      </c>
      <c r="I60" s="6">
        <v>0</v>
      </c>
      <c r="J60" s="6">
        <v>1</v>
      </c>
      <c r="K60" s="6">
        <v>2</v>
      </c>
      <c r="L60" s="6">
        <v>2</v>
      </c>
      <c r="M60" s="6">
        <v>0</v>
      </c>
      <c r="N60" s="1">
        <f t="shared" si="5"/>
        <v>6.5</v>
      </c>
      <c r="O60" s="6">
        <v>7</v>
      </c>
      <c r="P60" s="1">
        <v>2</v>
      </c>
      <c r="Q60" s="6" t="s">
        <v>342</v>
      </c>
      <c r="R60" s="6" t="s">
        <v>342</v>
      </c>
      <c r="S60" t="s">
        <v>342</v>
      </c>
      <c r="T60" s="6" t="s">
        <v>342</v>
      </c>
      <c r="U60" s="6" t="s">
        <v>342</v>
      </c>
      <c r="V60" s="6" t="s">
        <v>342</v>
      </c>
      <c r="W60" s="6" t="s">
        <v>342</v>
      </c>
      <c r="X60" s="6" t="s">
        <v>342</v>
      </c>
      <c r="Y60" s="6" t="s">
        <v>342</v>
      </c>
      <c r="Z60" s="6" t="s">
        <v>342</v>
      </c>
      <c r="AA60" s="6" t="s">
        <v>342</v>
      </c>
      <c r="AB60" s="6" t="s">
        <v>342</v>
      </c>
      <c r="AC60" s="6" t="s">
        <v>342</v>
      </c>
      <c r="AD60" s="6" t="s">
        <v>342</v>
      </c>
      <c r="AE60" s="6" t="s">
        <v>342</v>
      </c>
      <c r="AF60" s="6" t="s">
        <v>342</v>
      </c>
      <c r="AG60" s="6" t="s">
        <v>342</v>
      </c>
      <c r="AH60" s="6" t="s">
        <v>342</v>
      </c>
      <c r="AI60" t="s">
        <v>342</v>
      </c>
      <c r="AJ60" s="8"/>
      <c r="AK60" s="7">
        <f t="shared" si="4"/>
        <v>0</v>
      </c>
    </row>
    <row r="61" spans="1:37" x14ac:dyDescent="0.25">
      <c r="A61">
        <v>49</v>
      </c>
      <c r="B61" s="6" t="s">
        <v>279</v>
      </c>
      <c r="C61" s="6" t="s">
        <v>280</v>
      </c>
      <c r="D61" s="6"/>
      <c r="E61" s="6">
        <v>0.5</v>
      </c>
      <c r="F61">
        <v>0.5</v>
      </c>
      <c r="G61">
        <v>0</v>
      </c>
      <c r="H61" s="6">
        <v>1</v>
      </c>
      <c r="I61" s="6">
        <v>0</v>
      </c>
      <c r="J61" s="6">
        <v>2</v>
      </c>
      <c r="K61" s="6">
        <v>1.5</v>
      </c>
      <c r="L61" s="6">
        <v>1.5</v>
      </c>
      <c r="M61" s="6">
        <v>7.5</v>
      </c>
      <c r="N61" s="1">
        <f t="shared" si="5"/>
        <v>14.5</v>
      </c>
      <c r="O61" s="6">
        <v>7.5</v>
      </c>
      <c r="P61" s="1">
        <v>5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3.5</v>
      </c>
      <c r="AB61" s="6">
        <v>4</v>
      </c>
      <c r="AC61" s="6">
        <v>4</v>
      </c>
      <c r="AD61" s="6">
        <v>3.5</v>
      </c>
      <c r="AE61" s="6">
        <v>3</v>
      </c>
      <c r="AF61" s="6">
        <v>4</v>
      </c>
      <c r="AG61" s="6">
        <v>6</v>
      </c>
      <c r="AH61" s="6">
        <v>0</v>
      </c>
      <c r="AI61">
        <f t="shared" si="2"/>
        <v>38</v>
      </c>
      <c r="AJ61" s="8"/>
      <c r="AK61" s="7">
        <f t="shared" si="4"/>
        <v>74</v>
      </c>
    </row>
    <row r="62" spans="1:37" x14ac:dyDescent="0.25">
      <c r="A62">
        <v>50</v>
      </c>
      <c r="B62" s="6" t="s">
        <v>281</v>
      </c>
      <c r="C62" s="6" t="s">
        <v>282</v>
      </c>
      <c r="D62" s="6"/>
      <c r="E62" s="6">
        <v>1</v>
      </c>
      <c r="F62">
        <v>1</v>
      </c>
      <c r="G62">
        <v>1</v>
      </c>
      <c r="H62" s="6">
        <v>1</v>
      </c>
      <c r="I62" s="6">
        <v>1</v>
      </c>
      <c r="J62" s="6">
        <v>3.5</v>
      </c>
      <c r="K62" s="6">
        <v>2</v>
      </c>
      <c r="L62" s="6">
        <v>1.5</v>
      </c>
      <c r="M62" s="6">
        <v>7</v>
      </c>
      <c r="N62" s="1">
        <f t="shared" si="5"/>
        <v>19</v>
      </c>
      <c r="O62" s="6">
        <v>8</v>
      </c>
      <c r="P62" s="1">
        <v>6</v>
      </c>
      <c r="Q62" s="6">
        <v>1</v>
      </c>
      <c r="R62" s="6">
        <v>1</v>
      </c>
      <c r="S62" s="6">
        <v>1</v>
      </c>
      <c r="T62" s="6">
        <v>0</v>
      </c>
      <c r="U62" s="6">
        <v>0</v>
      </c>
      <c r="V62" s="6">
        <v>1</v>
      </c>
      <c r="W62" s="6">
        <v>1</v>
      </c>
      <c r="X62" s="6">
        <v>1</v>
      </c>
      <c r="Y62" s="6">
        <v>0</v>
      </c>
      <c r="Z62" s="6">
        <v>1</v>
      </c>
      <c r="AA62" s="6">
        <v>3</v>
      </c>
      <c r="AB62" s="6">
        <v>3.5</v>
      </c>
      <c r="AC62" s="6">
        <v>3</v>
      </c>
      <c r="AD62" s="6">
        <v>3</v>
      </c>
      <c r="AE62" s="6">
        <v>2.5</v>
      </c>
      <c r="AF62" s="6">
        <v>3.5</v>
      </c>
      <c r="AG62" s="6">
        <v>7</v>
      </c>
      <c r="AH62" s="6">
        <v>7.5</v>
      </c>
      <c r="AI62">
        <f t="shared" si="2"/>
        <v>40</v>
      </c>
      <c r="AJ62" s="8"/>
      <c r="AK62" s="7">
        <f t="shared" si="4"/>
        <v>78</v>
      </c>
    </row>
    <row r="63" spans="1:37" x14ac:dyDescent="0.25">
      <c r="A63">
        <v>51</v>
      </c>
      <c r="B63" s="6" t="s">
        <v>283</v>
      </c>
      <c r="C63" s="6" t="s">
        <v>284</v>
      </c>
      <c r="D63" s="6"/>
      <c r="E63" s="6">
        <v>1</v>
      </c>
      <c r="F63">
        <v>0.5</v>
      </c>
      <c r="G63">
        <v>0.5</v>
      </c>
      <c r="H63" s="6">
        <v>0.5</v>
      </c>
      <c r="I63">
        <v>1</v>
      </c>
      <c r="J63" s="6">
        <v>3.5</v>
      </c>
      <c r="K63" s="6">
        <v>4</v>
      </c>
      <c r="L63" s="6">
        <v>3.5</v>
      </c>
      <c r="M63" s="6">
        <v>6.5</v>
      </c>
      <c r="N63" s="1">
        <f t="shared" si="5"/>
        <v>21</v>
      </c>
      <c r="O63" s="6">
        <v>9</v>
      </c>
      <c r="P63" s="1">
        <v>5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4</v>
      </c>
      <c r="AB63" s="6">
        <v>4</v>
      </c>
      <c r="AC63" s="6">
        <v>4</v>
      </c>
      <c r="AD63" s="6">
        <v>3.5</v>
      </c>
      <c r="AE63" s="6">
        <v>3.5</v>
      </c>
      <c r="AF63" s="6">
        <v>4</v>
      </c>
      <c r="AG63" s="6">
        <v>8</v>
      </c>
      <c r="AH63" s="6">
        <v>8</v>
      </c>
      <c r="AI63">
        <f t="shared" si="2"/>
        <v>49</v>
      </c>
      <c r="AJ63" s="8"/>
      <c r="AK63" s="7">
        <f t="shared" si="4"/>
        <v>96</v>
      </c>
    </row>
    <row r="64" spans="1:37" x14ac:dyDescent="0.25">
      <c r="A64">
        <v>52</v>
      </c>
      <c r="B64" s="6" t="s">
        <v>285</v>
      </c>
      <c r="C64" s="6" t="s">
        <v>286</v>
      </c>
      <c r="D64" s="6"/>
      <c r="E64" s="6">
        <v>1</v>
      </c>
      <c r="F64">
        <v>1</v>
      </c>
      <c r="G64">
        <v>1</v>
      </c>
      <c r="H64" s="6">
        <v>0.5</v>
      </c>
      <c r="I64" s="6">
        <v>1</v>
      </c>
      <c r="J64" s="6">
        <v>3.5</v>
      </c>
      <c r="K64" s="6">
        <v>3</v>
      </c>
      <c r="L64" s="6">
        <v>3</v>
      </c>
      <c r="M64" s="6">
        <v>7.5</v>
      </c>
      <c r="N64" s="1">
        <f t="shared" si="5"/>
        <v>21.5</v>
      </c>
      <c r="O64" s="6">
        <v>9</v>
      </c>
      <c r="P64" s="1">
        <v>7</v>
      </c>
      <c r="Q64" s="6">
        <v>1</v>
      </c>
      <c r="R64" s="6">
        <v>0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4</v>
      </c>
      <c r="AB64" s="6">
        <v>4</v>
      </c>
      <c r="AC64" s="6">
        <v>3</v>
      </c>
      <c r="AD64" s="6">
        <v>3</v>
      </c>
      <c r="AE64" s="6">
        <v>3</v>
      </c>
      <c r="AF64" s="6">
        <v>4</v>
      </c>
      <c r="AG64" s="6">
        <v>7</v>
      </c>
      <c r="AH64" s="6">
        <v>7</v>
      </c>
      <c r="AI64">
        <f t="shared" si="2"/>
        <v>44</v>
      </c>
      <c r="AJ64" s="8"/>
      <c r="AK64" s="7">
        <f t="shared" si="4"/>
        <v>87</v>
      </c>
    </row>
    <row r="65" spans="1:37" x14ac:dyDescent="0.25">
      <c r="A65">
        <v>53</v>
      </c>
      <c r="B65" s="6" t="s">
        <v>287</v>
      </c>
      <c r="C65" s="6" t="s">
        <v>288</v>
      </c>
      <c r="D65" s="6"/>
      <c r="E65" s="6">
        <v>1</v>
      </c>
      <c r="F65">
        <v>1</v>
      </c>
      <c r="G65">
        <v>1</v>
      </c>
      <c r="H65" s="6">
        <v>1</v>
      </c>
      <c r="I65" s="6">
        <v>1</v>
      </c>
      <c r="J65" s="6">
        <v>3.5</v>
      </c>
      <c r="K65" s="6">
        <v>4</v>
      </c>
      <c r="L65" s="6">
        <v>3.5</v>
      </c>
      <c r="M65" s="6">
        <v>7.5</v>
      </c>
      <c r="N65" s="1">
        <f t="shared" si="5"/>
        <v>23.5</v>
      </c>
      <c r="O65" s="6">
        <v>9.5</v>
      </c>
      <c r="P65" s="1">
        <v>9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4</v>
      </c>
      <c r="AB65" s="6">
        <v>4</v>
      </c>
      <c r="AC65" s="6">
        <v>4</v>
      </c>
      <c r="AD65" s="6">
        <v>4</v>
      </c>
      <c r="AE65" s="6">
        <v>4</v>
      </c>
      <c r="AF65" s="6">
        <v>4</v>
      </c>
      <c r="AG65" s="6">
        <v>7.5</v>
      </c>
      <c r="AH65" s="6">
        <v>7.5</v>
      </c>
      <c r="AI65">
        <f t="shared" si="2"/>
        <v>49</v>
      </c>
      <c r="AJ65" s="8"/>
      <c r="AK65" s="7">
        <f t="shared" si="4"/>
        <v>96</v>
      </c>
    </row>
    <row r="66" spans="1:37" x14ac:dyDescent="0.25">
      <c r="A66">
        <v>54</v>
      </c>
      <c r="B66" s="6" t="s">
        <v>289</v>
      </c>
      <c r="C66" s="6" t="s">
        <v>290</v>
      </c>
      <c r="D66" s="6"/>
      <c r="E66" s="6">
        <v>0.5</v>
      </c>
      <c r="F66">
        <v>0</v>
      </c>
      <c r="G66">
        <v>0</v>
      </c>
      <c r="H66" s="6">
        <v>0</v>
      </c>
      <c r="I66" s="6">
        <v>0.5</v>
      </c>
      <c r="J66" s="6">
        <v>0</v>
      </c>
      <c r="K66" s="6">
        <v>1.5</v>
      </c>
      <c r="L66" s="6">
        <v>2.5</v>
      </c>
      <c r="M66" s="6">
        <v>6.5</v>
      </c>
      <c r="N66" s="1">
        <f t="shared" si="5"/>
        <v>11.5</v>
      </c>
      <c r="O66" s="6">
        <v>6.5</v>
      </c>
      <c r="P66" s="1">
        <v>3</v>
      </c>
      <c r="Q66" s="6" t="s">
        <v>342</v>
      </c>
      <c r="R66" s="6" t="s">
        <v>342</v>
      </c>
      <c r="S66" t="s">
        <v>342</v>
      </c>
      <c r="T66" s="6" t="s">
        <v>342</v>
      </c>
      <c r="U66" s="6" t="s">
        <v>342</v>
      </c>
      <c r="V66" s="6" t="s">
        <v>342</v>
      </c>
      <c r="W66" s="6" t="s">
        <v>342</v>
      </c>
      <c r="X66" s="6" t="s">
        <v>342</v>
      </c>
      <c r="Y66" s="6" t="s">
        <v>342</v>
      </c>
      <c r="Z66" s="6" t="s">
        <v>342</v>
      </c>
      <c r="AA66" s="6" t="s">
        <v>342</v>
      </c>
      <c r="AB66" s="6" t="s">
        <v>342</v>
      </c>
      <c r="AC66" s="6" t="s">
        <v>342</v>
      </c>
      <c r="AD66" s="6" t="s">
        <v>342</v>
      </c>
      <c r="AE66" s="6" t="s">
        <v>342</v>
      </c>
      <c r="AF66" s="6" t="s">
        <v>342</v>
      </c>
      <c r="AG66" s="6" t="s">
        <v>342</v>
      </c>
      <c r="AH66" s="6" t="s">
        <v>342</v>
      </c>
      <c r="AI66" t="s">
        <v>342</v>
      </c>
      <c r="AJ66" s="8"/>
      <c r="AK66" s="7">
        <f t="shared" si="4"/>
        <v>0</v>
      </c>
    </row>
    <row r="67" spans="1:37" x14ac:dyDescent="0.25">
      <c r="A67">
        <v>55</v>
      </c>
      <c r="B67" s="6" t="s">
        <v>291</v>
      </c>
      <c r="C67" s="6" t="s">
        <v>292</v>
      </c>
      <c r="D67" s="6"/>
      <c r="E67" s="6">
        <v>1</v>
      </c>
      <c r="F67">
        <v>0</v>
      </c>
      <c r="G67">
        <v>0</v>
      </c>
      <c r="H67" s="6">
        <v>0</v>
      </c>
      <c r="I67" s="6">
        <v>0</v>
      </c>
      <c r="J67" s="6">
        <v>3.5</v>
      </c>
      <c r="K67" s="6">
        <v>2</v>
      </c>
      <c r="L67" s="6">
        <v>3</v>
      </c>
      <c r="M67" s="6">
        <v>7.5</v>
      </c>
      <c r="N67" s="1">
        <f t="shared" si="5"/>
        <v>17</v>
      </c>
      <c r="O67" s="6">
        <v>9</v>
      </c>
      <c r="P67" s="1">
        <v>3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0</v>
      </c>
      <c r="X67" s="6">
        <v>0</v>
      </c>
      <c r="Y67" s="6">
        <v>0</v>
      </c>
      <c r="Z67" s="6">
        <v>0</v>
      </c>
      <c r="AA67" s="6">
        <v>3.5</v>
      </c>
      <c r="AB67" s="6">
        <v>4</v>
      </c>
      <c r="AC67" s="6">
        <v>3.5</v>
      </c>
      <c r="AD67" s="6">
        <v>2.5</v>
      </c>
      <c r="AE67" s="6">
        <v>2.5</v>
      </c>
      <c r="AF67" s="6">
        <v>3.5</v>
      </c>
      <c r="AG67" s="6">
        <v>7</v>
      </c>
      <c r="AH67" s="6">
        <v>6</v>
      </c>
      <c r="AI67">
        <f t="shared" si="2"/>
        <v>38.5</v>
      </c>
      <c r="AJ67" s="8"/>
      <c r="AK67" s="7">
        <f t="shared" si="4"/>
        <v>75</v>
      </c>
    </row>
    <row r="68" spans="1:37" x14ac:dyDescent="0.25">
      <c r="A68">
        <v>56</v>
      </c>
      <c r="B68" s="6" t="s">
        <v>293</v>
      </c>
      <c r="C68" s="6" t="s">
        <v>294</v>
      </c>
      <c r="D68" s="6"/>
      <c r="E68" s="6" t="s">
        <v>49</v>
      </c>
      <c r="F68" t="s">
        <v>49</v>
      </c>
      <c r="G68" t="s">
        <v>49</v>
      </c>
      <c r="H68" s="6" t="s">
        <v>49</v>
      </c>
      <c r="I68" s="6" t="s">
        <v>49</v>
      </c>
      <c r="J68" s="6" t="s">
        <v>49</v>
      </c>
      <c r="K68" s="6" t="s">
        <v>49</v>
      </c>
      <c r="L68" s="6" t="s">
        <v>49</v>
      </c>
      <c r="M68" s="6" t="s">
        <v>49</v>
      </c>
      <c r="N68" s="1" t="s">
        <v>49</v>
      </c>
      <c r="O68" s="6" t="s">
        <v>49</v>
      </c>
      <c r="P68" s="1" t="s">
        <v>49</v>
      </c>
      <c r="Q68" s="6" t="s">
        <v>49</v>
      </c>
      <c r="R68" s="6" t="s">
        <v>341</v>
      </c>
      <c r="S68" s="6" t="s">
        <v>341</v>
      </c>
      <c r="T68" s="6" t="s">
        <v>341</v>
      </c>
      <c r="U68" s="6" t="s">
        <v>341</v>
      </c>
      <c r="V68" s="6" t="s">
        <v>341</v>
      </c>
      <c r="W68" s="6" t="s">
        <v>341</v>
      </c>
      <c r="X68" s="6" t="s">
        <v>341</v>
      </c>
      <c r="Y68" s="6" t="s">
        <v>341</v>
      </c>
      <c r="Z68" s="6" t="s">
        <v>341</v>
      </c>
      <c r="AA68" s="6" t="s">
        <v>341</v>
      </c>
      <c r="AB68" s="6" t="s">
        <v>341</v>
      </c>
      <c r="AC68" s="6" t="s">
        <v>341</v>
      </c>
      <c r="AD68" s="6" t="s">
        <v>341</v>
      </c>
      <c r="AE68" s="6" t="s">
        <v>341</v>
      </c>
      <c r="AF68" s="6" t="s">
        <v>341</v>
      </c>
      <c r="AG68" s="6" t="s">
        <v>341</v>
      </c>
      <c r="AH68" s="6" t="s">
        <v>341</v>
      </c>
      <c r="AI68" t="s">
        <v>341</v>
      </c>
      <c r="AJ68" s="8"/>
      <c r="AK68" s="7">
        <f t="shared" si="4"/>
        <v>0</v>
      </c>
    </row>
    <row r="69" spans="1:37" x14ac:dyDescent="0.25">
      <c r="A69">
        <v>57</v>
      </c>
      <c r="B69" s="6" t="s">
        <v>295</v>
      </c>
      <c r="C69" s="6" t="s">
        <v>296</v>
      </c>
      <c r="D69" s="6"/>
      <c r="E69" s="6">
        <v>1</v>
      </c>
      <c r="F69">
        <v>1</v>
      </c>
      <c r="G69">
        <v>1</v>
      </c>
      <c r="H69" s="6">
        <v>1</v>
      </c>
      <c r="I69" s="6">
        <v>0.5</v>
      </c>
      <c r="J69" s="6">
        <v>3.5</v>
      </c>
      <c r="K69" s="6">
        <v>3.5</v>
      </c>
      <c r="L69" s="6">
        <v>3</v>
      </c>
      <c r="M69" s="6">
        <v>7</v>
      </c>
      <c r="N69" s="1">
        <f t="shared" si="5"/>
        <v>21.5</v>
      </c>
      <c r="O69" s="6">
        <v>8.5</v>
      </c>
      <c r="P69" s="1">
        <v>6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0</v>
      </c>
      <c r="W69" s="6">
        <v>1</v>
      </c>
      <c r="X69" s="6">
        <v>1</v>
      </c>
      <c r="Y69" s="6">
        <v>0</v>
      </c>
      <c r="Z69" s="6">
        <v>0</v>
      </c>
      <c r="AA69" s="6">
        <v>4</v>
      </c>
      <c r="AB69" s="6">
        <v>3</v>
      </c>
      <c r="AC69" s="6">
        <v>3</v>
      </c>
      <c r="AD69" s="6">
        <v>3.5</v>
      </c>
      <c r="AE69" s="6">
        <v>3.5</v>
      </c>
      <c r="AF69" s="6">
        <v>3.5</v>
      </c>
      <c r="AG69" s="6">
        <v>7</v>
      </c>
      <c r="AH69" s="6">
        <v>7</v>
      </c>
      <c r="AI69">
        <f t="shared" si="2"/>
        <v>41.5</v>
      </c>
      <c r="AJ69" s="8"/>
      <c r="AK69" s="7">
        <f t="shared" si="4"/>
        <v>81</v>
      </c>
    </row>
    <row r="70" spans="1:37" x14ac:dyDescent="0.25">
      <c r="A70">
        <v>58</v>
      </c>
      <c r="B70" s="6" t="s">
        <v>297</v>
      </c>
      <c r="C70" s="6" t="s">
        <v>298</v>
      </c>
      <c r="D70" s="6"/>
      <c r="E70" s="6">
        <v>1</v>
      </c>
      <c r="F70">
        <v>1</v>
      </c>
      <c r="G70">
        <v>1</v>
      </c>
      <c r="H70" s="6">
        <v>0.5</v>
      </c>
      <c r="I70" s="6">
        <v>0.5</v>
      </c>
      <c r="J70" s="6">
        <v>1.5</v>
      </c>
      <c r="K70" s="6">
        <v>2</v>
      </c>
      <c r="L70" s="6">
        <v>2</v>
      </c>
      <c r="M70" s="6">
        <v>3.5</v>
      </c>
      <c r="N70" s="1">
        <f t="shared" si="5"/>
        <v>13</v>
      </c>
      <c r="O70" s="6">
        <v>7.5</v>
      </c>
      <c r="P70" s="1">
        <v>4</v>
      </c>
      <c r="Q70" s="6">
        <v>1</v>
      </c>
      <c r="R70" s="6">
        <v>1</v>
      </c>
      <c r="S70" s="6">
        <v>1</v>
      </c>
      <c r="T70" s="6">
        <v>1</v>
      </c>
      <c r="U70" s="6">
        <v>0</v>
      </c>
      <c r="V70" s="6">
        <v>0</v>
      </c>
      <c r="W70" s="6">
        <v>1</v>
      </c>
      <c r="X70" s="6">
        <v>1</v>
      </c>
      <c r="Y70" s="6">
        <v>1</v>
      </c>
      <c r="Z70" s="6">
        <v>0</v>
      </c>
      <c r="AA70" s="6">
        <v>3</v>
      </c>
      <c r="AB70" s="6">
        <v>3.5</v>
      </c>
      <c r="AC70" s="6">
        <v>2.5</v>
      </c>
      <c r="AD70" s="6">
        <v>2.5</v>
      </c>
      <c r="AE70" s="6">
        <v>1</v>
      </c>
      <c r="AF70" s="6">
        <v>3.5</v>
      </c>
      <c r="AG70" s="6">
        <v>6</v>
      </c>
      <c r="AH70" s="6">
        <v>8</v>
      </c>
      <c r="AI70">
        <f t="shared" si="2"/>
        <v>37</v>
      </c>
      <c r="AJ70" s="8"/>
      <c r="AK70" s="7">
        <f t="shared" si="4"/>
        <v>72</v>
      </c>
    </row>
    <row r="71" spans="1:37" x14ac:dyDescent="0.25">
      <c r="A71">
        <v>59</v>
      </c>
      <c r="B71" s="6" t="s">
        <v>299</v>
      </c>
      <c r="C71" s="6" t="s">
        <v>300</v>
      </c>
      <c r="D71" s="6"/>
      <c r="E71" s="6">
        <v>1</v>
      </c>
      <c r="F71">
        <v>0.5</v>
      </c>
      <c r="G71">
        <v>1</v>
      </c>
      <c r="H71" s="6">
        <v>1</v>
      </c>
      <c r="I71" s="6">
        <v>1</v>
      </c>
      <c r="J71" s="6">
        <v>2</v>
      </c>
      <c r="K71" s="6">
        <v>2.5</v>
      </c>
      <c r="L71" s="6">
        <v>3.5</v>
      </c>
      <c r="M71" s="6">
        <v>6.5</v>
      </c>
      <c r="N71" s="1">
        <f t="shared" si="5"/>
        <v>19</v>
      </c>
      <c r="O71" s="6">
        <v>9</v>
      </c>
      <c r="P71" s="1">
        <v>7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2</v>
      </c>
      <c r="AB71" s="6">
        <v>3.5</v>
      </c>
      <c r="AC71" s="6">
        <v>3.5</v>
      </c>
      <c r="AD71" s="6">
        <v>3.5</v>
      </c>
      <c r="AE71" s="6">
        <v>3</v>
      </c>
      <c r="AF71" s="6">
        <v>3.5</v>
      </c>
      <c r="AG71" s="6">
        <v>7</v>
      </c>
      <c r="AH71" s="6">
        <v>7</v>
      </c>
      <c r="AI71">
        <f t="shared" si="2"/>
        <v>43</v>
      </c>
      <c r="AJ71" s="8"/>
      <c r="AK71" s="7">
        <f t="shared" si="4"/>
        <v>84</v>
      </c>
    </row>
    <row r="72" spans="1:37" x14ac:dyDescent="0.25">
      <c r="A72">
        <v>60</v>
      </c>
      <c r="B72" s="6" t="s">
        <v>301</v>
      </c>
      <c r="C72" s="6" t="s">
        <v>302</v>
      </c>
      <c r="D72" s="6"/>
      <c r="E72" s="6">
        <v>1</v>
      </c>
      <c r="F72">
        <v>1</v>
      </c>
      <c r="G72">
        <v>0</v>
      </c>
      <c r="H72" s="6">
        <v>0.5</v>
      </c>
      <c r="I72" s="6">
        <v>0.5</v>
      </c>
      <c r="J72" s="6">
        <v>3.5</v>
      </c>
      <c r="K72" s="6">
        <v>3</v>
      </c>
      <c r="L72" s="6">
        <v>2.5</v>
      </c>
      <c r="M72" s="6">
        <v>7</v>
      </c>
      <c r="N72" s="1">
        <f t="shared" si="5"/>
        <v>19</v>
      </c>
      <c r="O72" s="6">
        <v>9</v>
      </c>
      <c r="P72" s="1">
        <v>5</v>
      </c>
      <c r="Q72" s="6">
        <v>1</v>
      </c>
      <c r="R72" s="6">
        <v>1</v>
      </c>
      <c r="S72" s="6">
        <v>1</v>
      </c>
      <c r="T72" s="6">
        <v>1</v>
      </c>
      <c r="U72" s="6">
        <v>0</v>
      </c>
      <c r="V72" s="6">
        <v>0</v>
      </c>
      <c r="W72" s="6">
        <v>0</v>
      </c>
      <c r="X72" s="6">
        <v>1</v>
      </c>
      <c r="Y72" s="6">
        <v>0</v>
      </c>
      <c r="Z72" s="6">
        <v>0</v>
      </c>
      <c r="AA72" s="6">
        <v>4</v>
      </c>
      <c r="AB72" s="6">
        <v>4</v>
      </c>
      <c r="AC72" s="6">
        <v>2</v>
      </c>
      <c r="AD72" s="6">
        <v>3</v>
      </c>
      <c r="AE72" s="6">
        <v>3</v>
      </c>
      <c r="AF72" s="6">
        <v>4</v>
      </c>
      <c r="AG72" s="6">
        <v>8</v>
      </c>
      <c r="AH72" s="6">
        <v>7</v>
      </c>
      <c r="AI72">
        <f t="shared" si="2"/>
        <v>40</v>
      </c>
      <c r="AJ72" s="8"/>
      <c r="AK72" s="7">
        <f t="shared" si="4"/>
        <v>78</v>
      </c>
    </row>
    <row r="73" spans="1:37" x14ac:dyDescent="0.25">
      <c r="A73">
        <v>61</v>
      </c>
      <c r="B73" s="6" t="s">
        <v>303</v>
      </c>
      <c r="C73" s="6" t="s">
        <v>304</v>
      </c>
      <c r="D73" s="6"/>
      <c r="E73" s="6">
        <v>1</v>
      </c>
      <c r="F73">
        <v>1</v>
      </c>
      <c r="G73">
        <v>1</v>
      </c>
      <c r="H73" s="6">
        <v>0.5</v>
      </c>
      <c r="I73" s="6">
        <v>1</v>
      </c>
      <c r="J73" s="6">
        <v>2.5</v>
      </c>
      <c r="K73" s="6">
        <v>3.5</v>
      </c>
      <c r="L73" s="6">
        <v>2.5</v>
      </c>
      <c r="M73" s="6">
        <v>6.5</v>
      </c>
      <c r="N73" s="1">
        <f t="shared" si="5"/>
        <v>19.5</v>
      </c>
      <c r="O73" s="6">
        <v>8</v>
      </c>
      <c r="P73" s="1">
        <v>4</v>
      </c>
      <c r="Q73" s="6">
        <v>1</v>
      </c>
      <c r="R73" s="6">
        <v>1</v>
      </c>
      <c r="S73" s="6">
        <v>1</v>
      </c>
      <c r="T73" s="6">
        <v>1</v>
      </c>
      <c r="U73" s="6">
        <v>0</v>
      </c>
      <c r="V73" s="6">
        <v>0</v>
      </c>
      <c r="W73" s="6">
        <v>0</v>
      </c>
      <c r="X73" s="6">
        <v>1</v>
      </c>
      <c r="Y73" s="6">
        <v>0</v>
      </c>
      <c r="Z73" s="6">
        <v>1</v>
      </c>
      <c r="AA73" s="6">
        <v>0</v>
      </c>
      <c r="AB73" s="6">
        <v>3.5</v>
      </c>
      <c r="AC73" s="6">
        <v>3.5</v>
      </c>
      <c r="AD73" s="6">
        <v>3.5</v>
      </c>
      <c r="AE73" s="6">
        <v>3</v>
      </c>
      <c r="AF73" s="6">
        <v>3</v>
      </c>
      <c r="AG73" s="6">
        <v>5</v>
      </c>
      <c r="AH73" s="6">
        <v>7</v>
      </c>
      <c r="AI73">
        <f t="shared" si="2"/>
        <v>34.5</v>
      </c>
      <c r="AJ73" s="8"/>
      <c r="AK73" s="7">
        <f t="shared" si="4"/>
        <v>67</v>
      </c>
    </row>
    <row r="74" spans="1:37" x14ac:dyDescent="0.25">
      <c r="A74">
        <v>62</v>
      </c>
      <c r="B74" s="6" t="s">
        <v>305</v>
      </c>
      <c r="C74" s="6" t="s">
        <v>306</v>
      </c>
      <c r="D74" s="6"/>
      <c r="E74" s="6">
        <v>0.5</v>
      </c>
      <c r="F74">
        <v>0.5</v>
      </c>
      <c r="G74">
        <v>0.5</v>
      </c>
      <c r="H74" s="6">
        <v>0.5</v>
      </c>
      <c r="I74" s="6">
        <v>0.5</v>
      </c>
      <c r="J74" s="6">
        <v>2.5</v>
      </c>
      <c r="K74" s="6">
        <v>2.5</v>
      </c>
      <c r="L74" s="6">
        <v>2.5</v>
      </c>
      <c r="M74" s="6">
        <v>6.5</v>
      </c>
      <c r="N74" s="1">
        <f t="shared" si="5"/>
        <v>16.5</v>
      </c>
      <c r="O74" s="6">
        <v>7.5</v>
      </c>
      <c r="P74" s="1">
        <v>5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3.5</v>
      </c>
      <c r="AB74" s="6">
        <v>3</v>
      </c>
      <c r="AC74" s="6">
        <v>4</v>
      </c>
      <c r="AD74" s="6">
        <v>2.5</v>
      </c>
      <c r="AE74" s="6">
        <v>2</v>
      </c>
      <c r="AF74" s="6">
        <v>2</v>
      </c>
      <c r="AG74" s="6">
        <v>6</v>
      </c>
      <c r="AH74" s="6">
        <v>7</v>
      </c>
      <c r="AI74">
        <f t="shared" si="2"/>
        <v>30</v>
      </c>
      <c r="AJ74" s="8"/>
      <c r="AK74" s="7">
        <f t="shared" si="4"/>
        <v>60</v>
      </c>
    </row>
    <row r="75" spans="1:37" x14ac:dyDescent="0.25">
      <c r="A75">
        <v>63</v>
      </c>
      <c r="B75" s="6" t="s">
        <v>307</v>
      </c>
      <c r="C75" s="6" t="s">
        <v>308</v>
      </c>
      <c r="D75" s="6"/>
      <c r="E75" s="6">
        <v>1</v>
      </c>
      <c r="F75">
        <v>1</v>
      </c>
      <c r="G75">
        <v>1</v>
      </c>
      <c r="H75" s="6">
        <v>0.5</v>
      </c>
      <c r="I75" s="6">
        <v>1</v>
      </c>
      <c r="J75" s="6">
        <v>3</v>
      </c>
      <c r="K75" s="6">
        <v>3</v>
      </c>
      <c r="L75" s="6">
        <v>3</v>
      </c>
      <c r="M75" s="6">
        <v>6</v>
      </c>
      <c r="N75" s="1">
        <f t="shared" si="5"/>
        <v>19.5</v>
      </c>
      <c r="O75" s="6">
        <v>7.5</v>
      </c>
      <c r="P75" s="1">
        <v>8</v>
      </c>
      <c r="Q75" s="6">
        <v>0</v>
      </c>
      <c r="R75" s="6">
        <v>1</v>
      </c>
      <c r="S75" s="6">
        <v>1</v>
      </c>
      <c r="T75" s="6">
        <v>1</v>
      </c>
      <c r="U75" s="6">
        <v>0</v>
      </c>
      <c r="V75" s="6">
        <v>1</v>
      </c>
      <c r="W75" s="6">
        <v>0</v>
      </c>
      <c r="X75" s="6">
        <v>0</v>
      </c>
      <c r="Y75" s="6">
        <v>0</v>
      </c>
      <c r="Z75" s="6">
        <v>1</v>
      </c>
      <c r="AA75" s="6">
        <v>1</v>
      </c>
      <c r="AB75" s="6">
        <v>2</v>
      </c>
      <c r="AC75" s="6">
        <v>2.5</v>
      </c>
      <c r="AD75" s="6">
        <v>2</v>
      </c>
      <c r="AE75" s="6">
        <v>2</v>
      </c>
      <c r="AF75" s="6">
        <v>3</v>
      </c>
      <c r="AG75" s="6">
        <v>6.5</v>
      </c>
      <c r="AH75" s="6">
        <v>6</v>
      </c>
      <c r="AI75">
        <f t="shared" si="2"/>
        <v>30</v>
      </c>
      <c r="AJ75" s="8"/>
      <c r="AK75" s="7">
        <f t="shared" si="4"/>
        <v>59</v>
      </c>
    </row>
    <row r="76" spans="1:37" x14ac:dyDescent="0.25">
      <c r="A76">
        <v>64</v>
      </c>
      <c r="B76" s="6" t="s">
        <v>309</v>
      </c>
      <c r="C76" s="6" t="s">
        <v>310</v>
      </c>
      <c r="D76" s="6"/>
      <c r="E76" s="6">
        <v>1</v>
      </c>
      <c r="F76">
        <v>0.5</v>
      </c>
      <c r="G76">
        <v>0</v>
      </c>
      <c r="H76" s="6">
        <v>0.5</v>
      </c>
      <c r="I76" s="6">
        <v>1</v>
      </c>
      <c r="J76" s="6">
        <v>2.5</v>
      </c>
      <c r="K76" s="6">
        <v>3</v>
      </c>
      <c r="L76" s="6">
        <v>3.5</v>
      </c>
      <c r="M76" s="6">
        <v>5.5</v>
      </c>
      <c r="N76" s="1">
        <f t="shared" si="5"/>
        <v>17.5</v>
      </c>
      <c r="O76" s="6">
        <v>7</v>
      </c>
      <c r="P76" s="1" t="s">
        <v>49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1</v>
      </c>
      <c r="X76" s="6">
        <v>0</v>
      </c>
      <c r="Y76" s="6">
        <v>0</v>
      </c>
      <c r="Z76" s="6">
        <v>0</v>
      </c>
      <c r="AA76" s="6">
        <v>1.5</v>
      </c>
      <c r="AB76" s="6">
        <v>4</v>
      </c>
      <c r="AC76" s="6">
        <v>4</v>
      </c>
      <c r="AD76" s="6">
        <v>3</v>
      </c>
      <c r="AE76" s="6">
        <v>2.5</v>
      </c>
      <c r="AF76" s="6">
        <v>3</v>
      </c>
      <c r="AG76" s="6">
        <v>6</v>
      </c>
      <c r="AH76" s="6">
        <v>4</v>
      </c>
      <c r="AI76">
        <f t="shared" si="2"/>
        <v>31</v>
      </c>
      <c r="AJ76" s="8"/>
      <c r="AK76" s="7">
        <f t="shared" si="4"/>
        <v>61</v>
      </c>
    </row>
    <row r="77" spans="1:37" x14ac:dyDescent="0.25">
      <c r="A77">
        <v>65</v>
      </c>
      <c r="B77" s="6" t="s">
        <v>311</v>
      </c>
      <c r="C77" s="6" t="s">
        <v>312</v>
      </c>
      <c r="D77" s="6"/>
      <c r="E77" s="6">
        <v>1</v>
      </c>
      <c r="F77">
        <v>0.5</v>
      </c>
      <c r="G77">
        <v>0</v>
      </c>
      <c r="H77" s="6">
        <v>0</v>
      </c>
      <c r="I77" s="6">
        <v>0</v>
      </c>
      <c r="J77" s="6">
        <v>2.5</v>
      </c>
      <c r="K77" s="6">
        <v>2</v>
      </c>
      <c r="L77" s="6">
        <v>1.5</v>
      </c>
      <c r="M77" s="6">
        <v>6</v>
      </c>
      <c r="N77" s="1">
        <f t="shared" si="5"/>
        <v>13.5</v>
      </c>
      <c r="O77" s="6">
        <v>8</v>
      </c>
      <c r="P77" s="1">
        <v>1</v>
      </c>
      <c r="Q77" s="6">
        <v>1</v>
      </c>
      <c r="R77" s="6">
        <v>1</v>
      </c>
      <c r="S77" s="6">
        <v>0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2.5</v>
      </c>
      <c r="AC77" s="6">
        <v>2</v>
      </c>
      <c r="AD77" s="6">
        <v>1.5</v>
      </c>
      <c r="AE77" s="6">
        <v>2.5</v>
      </c>
      <c r="AF77" s="6">
        <v>4</v>
      </c>
      <c r="AG77" s="6">
        <v>6</v>
      </c>
      <c r="AH77" s="6">
        <v>5</v>
      </c>
      <c r="AI77">
        <f t="shared" si="2"/>
        <v>27.5</v>
      </c>
      <c r="AJ77" s="8"/>
      <c r="AK77" s="7">
        <f t="shared" si="4"/>
        <v>53</v>
      </c>
    </row>
    <row r="78" spans="1:37" x14ac:dyDescent="0.25">
      <c r="A78">
        <v>66</v>
      </c>
      <c r="B78" s="6" t="s">
        <v>313</v>
      </c>
      <c r="C78" s="6" t="s">
        <v>314</v>
      </c>
      <c r="D78" s="6"/>
      <c r="E78" s="6">
        <v>1</v>
      </c>
      <c r="F78">
        <v>0.5</v>
      </c>
      <c r="G78">
        <v>0</v>
      </c>
      <c r="H78" s="6">
        <v>0</v>
      </c>
      <c r="I78" s="6">
        <v>1</v>
      </c>
      <c r="J78" s="6">
        <v>1</v>
      </c>
      <c r="K78" s="6">
        <v>2.5</v>
      </c>
      <c r="L78" s="6">
        <v>2.5</v>
      </c>
      <c r="M78" s="6">
        <v>5</v>
      </c>
      <c r="N78" s="1">
        <f t="shared" si="5"/>
        <v>13.5</v>
      </c>
      <c r="O78" s="6">
        <v>7.5</v>
      </c>
      <c r="P78" s="1">
        <v>3</v>
      </c>
      <c r="Q78" s="6">
        <v>1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6">
        <v>0</v>
      </c>
      <c r="X78" s="6">
        <v>1</v>
      </c>
      <c r="Y78" s="6">
        <v>0</v>
      </c>
      <c r="Z78" s="6">
        <v>0</v>
      </c>
      <c r="AA78" s="6">
        <v>3</v>
      </c>
      <c r="AB78" s="6">
        <v>4</v>
      </c>
      <c r="AC78" s="6">
        <v>3</v>
      </c>
      <c r="AD78" s="6">
        <v>3.5</v>
      </c>
      <c r="AE78" s="6">
        <v>0</v>
      </c>
      <c r="AF78" s="6">
        <v>1</v>
      </c>
      <c r="AG78" s="6">
        <v>5</v>
      </c>
      <c r="AH78" s="6">
        <v>4</v>
      </c>
      <c r="AI78">
        <f t="shared" ref="AI78:AI88" si="6">SUM(Q78:AH78)</f>
        <v>26.5</v>
      </c>
      <c r="AK78" s="7" t="s">
        <v>49</v>
      </c>
    </row>
    <row r="79" spans="1:37" x14ac:dyDescent="0.25">
      <c r="A79">
        <v>67</v>
      </c>
      <c r="B79" s="6" t="s">
        <v>315</v>
      </c>
      <c r="C79" s="6" t="s">
        <v>316</v>
      </c>
      <c r="D79" s="6"/>
      <c r="E79" s="6">
        <v>0.5</v>
      </c>
      <c r="F79">
        <v>1</v>
      </c>
      <c r="G79">
        <v>1</v>
      </c>
      <c r="H79" s="6">
        <v>1</v>
      </c>
      <c r="I79" s="6">
        <v>1</v>
      </c>
      <c r="J79" s="6">
        <v>3.5</v>
      </c>
      <c r="K79" s="6">
        <v>3</v>
      </c>
      <c r="L79" s="6">
        <v>3.5</v>
      </c>
      <c r="M79" s="6">
        <v>7</v>
      </c>
      <c r="N79" s="1">
        <f t="shared" si="5"/>
        <v>21.5</v>
      </c>
      <c r="O79" s="6">
        <v>9</v>
      </c>
      <c r="P79" s="1">
        <v>5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4</v>
      </c>
      <c r="AB79" s="6">
        <v>4</v>
      </c>
      <c r="AC79" s="6">
        <v>3.5</v>
      </c>
      <c r="AD79" s="6">
        <v>4</v>
      </c>
      <c r="AE79" s="6">
        <v>4</v>
      </c>
      <c r="AF79" s="6">
        <v>3.5</v>
      </c>
      <c r="AG79" s="6">
        <v>7.5</v>
      </c>
      <c r="AH79" s="6">
        <v>7.5</v>
      </c>
      <c r="AI79">
        <f t="shared" si="6"/>
        <v>48</v>
      </c>
      <c r="AK79" s="7">
        <f t="shared" si="4"/>
        <v>94</v>
      </c>
    </row>
    <row r="80" spans="1:37" x14ac:dyDescent="0.25">
      <c r="A80">
        <v>68</v>
      </c>
      <c r="B80" s="6" t="s">
        <v>317</v>
      </c>
      <c r="C80" s="6" t="s">
        <v>318</v>
      </c>
      <c r="D80" s="6"/>
      <c r="E80" s="6">
        <v>1</v>
      </c>
      <c r="F80">
        <v>1</v>
      </c>
      <c r="G80">
        <v>1</v>
      </c>
      <c r="H80" s="6">
        <v>1</v>
      </c>
      <c r="I80" s="6">
        <v>1</v>
      </c>
      <c r="J80" s="6">
        <v>3.5</v>
      </c>
      <c r="K80" s="6">
        <v>4</v>
      </c>
      <c r="L80" s="6">
        <v>3.5</v>
      </c>
      <c r="M80" s="6">
        <v>7.5</v>
      </c>
      <c r="N80" s="1">
        <f t="shared" si="5"/>
        <v>23.5</v>
      </c>
      <c r="O80" s="6">
        <v>10</v>
      </c>
      <c r="P80" s="1">
        <v>6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4</v>
      </c>
      <c r="AB80" s="6">
        <v>4</v>
      </c>
      <c r="AC80" s="6">
        <v>3</v>
      </c>
      <c r="AD80" s="6">
        <v>4</v>
      </c>
      <c r="AE80" s="6">
        <v>4</v>
      </c>
      <c r="AF80" s="6">
        <v>3.5</v>
      </c>
      <c r="AG80" s="6">
        <v>8</v>
      </c>
      <c r="AH80" s="6">
        <v>7</v>
      </c>
      <c r="AI80">
        <f t="shared" si="6"/>
        <v>47.5</v>
      </c>
      <c r="AJ80" s="8"/>
      <c r="AK80" s="7">
        <f t="shared" si="4"/>
        <v>93</v>
      </c>
    </row>
    <row r="81" spans="1:37" x14ac:dyDescent="0.25">
      <c r="A81">
        <v>69</v>
      </c>
      <c r="B81" s="6" t="s">
        <v>319</v>
      </c>
      <c r="C81" s="6" t="s">
        <v>320</v>
      </c>
      <c r="D81" s="6"/>
      <c r="E81" s="6">
        <v>1</v>
      </c>
      <c r="F81">
        <v>1</v>
      </c>
      <c r="G81">
        <v>1</v>
      </c>
      <c r="H81" s="6">
        <v>1</v>
      </c>
      <c r="I81" s="6">
        <v>1</v>
      </c>
      <c r="J81" s="6">
        <v>3.5</v>
      </c>
      <c r="K81" s="6">
        <v>4</v>
      </c>
      <c r="L81" s="6">
        <v>3</v>
      </c>
      <c r="M81" s="6">
        <v>6</v>
      </c>
      <c r="N81" s="1">
        <f t="shared" si="5"/>
        <v>21.5</v>
      </c>
      <c r="O81" s="6">
        <v>7</v>
      </c>
      <c r="P81" s="1">
        <v>6</v>
      </c>
      <c r="Q81" s="6">
        <v>1</v>
      </c>
      <c r="R81" s="6">
        <v>1</v>
      </c>
      <c r="S81" s="6">
        <v>1</v>
      </c>
      <c r="T81" s="6">
        <v>1</v>
      </c>
      <c r="U81" s="6">
        <v>0</v>
      </c>
      <c r="V81" s="6">
        <v>1</v>
      </c>
      <c r="W81" s="6">
        <v>0</v>
      </c>
      <c r="X81" s="6">
        <v>1</v>
      </c>
      <c r="Y81" s="6">
        <v>1</v>
      </c>
      <c r="Z81" s="6">
        <v>1</v>
      </c>
      <c r="AA81" s="6">
        <v>3</v>
      </c>
      <c r="AB81" s="6">
        <v>4</v>
      </c>
      <c r="AC81" s="6">
        <v>4</v>
      </c>
      <c r="AD81" s="6">
        <v>3.5</v>
      </c>
      <c r="AE81" s="6">
        <v>3.5</v>
      </c>
      <c r="AF81" s="6">
        <v>4</v>
      </c>
      <c r="AG81" s="6">
        <v>7</v>
      </c>
      <c r="AH81" s="6">
        <v>6.5</v>
      </c>
      <c r="AI81">
        <f t="shared" si="6"/>
        <v>43.5</v>
      </c>
      <c r="AJ81" s="8"/>
      <c r="AK81" s="7">
        <f t="shared" si="4"/>
        <v>85</v>
      </c>
    </row>
    <row r="82" spans="1:37" x14ac:dyDescent="0.25">
      <c r="A82">
        <v>70</v>
      </c>
      <c r="B82" s="6" t="s">
        <v>321</v>
      </c>
      <c r="C82" s="6" t="s">
        <v>322</v>
      </c>
      <c r="D82" s="6"/>
      <c r="E82" s="6">
        <v>1</v>
      </c>
      <c r="F82">
        <v>1</v>
      </c>
      <c r="G82">
        <v>1</v>
      </c>
      <c r="H82" s="6">
        <v>1</v>
      </c>
      <c r="I82" s="6">
        <v>1</v>
      </c>
      <c r="J82" s="6">
        <v>3.5</v>
      </c>
      <c r="K82" s="6">
        <v>3</v>
      </c>
      <c r="L82" s="6">
        <v>3</v>
      </c>
      <c r="M82" s="6">
        <v>7</v>
      </c>
      <c r="N82" s="1">
        <f t="shared" si="5"/>
        <v>21.5</v>
      </c>
      <c r="O82" s="6">
        <v>8</v>
      </c>
      <c r="P82" s="1">
        <v>4.5</v>
      </c>
      <c r="Q82" s="6">
        <v>1</v>
      </c>
      <c r="R82" s="6">
        <v>1</v>
      </c>
      <c r="S82" s="6">
        <v>1</v>
      </c>
      <c r="T82" s="6">
        <v>1</v>
      </c>
      <c r="U82" s="6">
        <v>0</v>
      </c>
      <c r="V82" s="6">
        <v>1</v>
      </c>
      <c r="W82" s="6">
        <v>1</v>
      </c>
      <c r="X82" s="6">
        <v>1</v>
      </c>
      <c r="Y82" s="6">
        <v>0</v>
      </c>
      <c r="Z82" s="6">
        <v>0</v>
      </c>
      <c r="AA82" s="6">
        <v>4</v>
      </c>
      <c r="AB82" s="6">
        <v>4</v>
      </c>
      <c r="AC82" s="6">
        <v>4</v>
      </c>
      <c r="AD82" s="6">
        <v>4</v>
      </c>
      <c r="AE82" s="6">
        <v>3.5</v>
      </c>
      <c r="AF82" s="6">
        <v>3.5</v>
      </c>
      <c r="AG82" s="6">
        <v>8</v>
      </c>
      <c r="AH82" s="6">
        <v>8</v>
      </c>
      <c r="AI82">
        <f t="shared" si="6"/>
        <v>46</v>
      </c>
      <c r="AJ82" s="8"/>
      <c r="AK82" s="7">
        <f t="shared" si="4"/>
        <v>90</v>
      </c>
    </row>
    <row r="83" spans="1:37" x14ac:dyDescent="0.25">
      <c r="A83">
        <v>71</v>
      </c>
      <c r="B83" s="6" t="s">
        <v>323</v>
      </c>
      <c r="C83" s="6" t="s">
        <v>324</v>
      </c>
      <c r="D83" s="6"/>
      <c r="E83" s="6">
        <v>0.5</v>
      </c>
      <c r="F83">
        <v>1</v>
      </c>
      <c r="G83">
        <v>0.5</v>
      </c>
      <c r="H83" s="6">
        <v>0</v>
      </c>
      <c r="I83" s="6">
        <v>0</v>
      </c>
      <c r="J83" s="6">
        <v>1.5</v>
      </c>
      <c r="K83" s="6">
        <v>1</v>
      </c>
      <c r="L83" s="6">
        <v>2.5</v>
      </c>
      <c r="M83" s="6">
        <v>6</v>
      </c>
      <c r="N83" s="1">
        <f t="shared" si="5"/>
        <v>13</v>
      </c>
      <c r="O83" s="6">
        <v>7</v>
      </c>
      <c r="P83" s="1">
        <v>2</v>
      </c>
      <c r="Q83" s="6">
        <v>1</v>
      </c>
      <c r="R83" s="6">
        <v>0</v>
      </c>
      <c r="S83" s="6">
        <v>0</v>
      </c>
      <c r="T83" s="6">
        <v>1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2</v>
      </c>
      <c r="AB83" s="6">
        <v>3</v>
      </c>
      <c r="AC83" s="6">
        <v>1.5</v>
      </c>
      <c r="AD83" s="6">
        <v>1</v>
      </c>
      <c r="AE83" s="6">
        <v>0</v>
      </c>
      <c r="AF83" s="6">
        <v>3</v>
      </c>
      <c r="AG83" s="6">
        <v>6</v>
      </c>
      <c r="AH83" s="6">
        <v>6</v>
      </c>
      <c r="AI83">
        <f t="shared" si="6"/>
        <v>24.5</v>
      </c>
      <c r="AJ83" s="8"/>
      <c r="AK83" s="7">
        <f t="shared" si="4"/>
        <v>48</v>
      </c>
    </row>
    <row r="84" spans="1:37" x14ac:dyDescent="0.25">
      <c r="A84">
        <v>72</v>
      </c>
      <c r="B84" s="6" t="s">
        <v>325</v>
      </c>
      <c r="C84" s="6" t="s">
        <v>326</v>
      </c>
      <c r="D84" s="6"/>
      <c r="E84" s="6">
        <v>1</v>
      </c>
      <c r="F84">
        <v>1</v>
      </c>
      <c r="G84">
        <v>0</v>
      </c>
      <c r="H84" s="6">
        <v>1</v>
      </c>
      <c r="I84" s="6">
        <v>0</v>
      </c>
      <c r="J84" s="6">
        <v>1.5</v>
      </c>
      <c r="K84" s="6">
        <v>3</v>
      </c>
      <c r="L84" s="6">
        <v>3.5</v>
      </c>
      <c r="M84" s="6">
        <v>6</v>
      </c>
      <c r="N84" s="1">
        <f t="shared" si="5"/>
        <v>17</v>
      </c>
      <c r="O84" s="6">
        <v>8</v>
      </c>
      <c r="P84" s="1">
        <v>2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0</v>
      </c>
      <c r="X84" s="6">
        <v>0</v>
      </c>
      <c r="Y84" s="6">
        <v>1</v>
      </c>
      <c r="Z84" s="6">
        <v>0</v>
      </c>
      <c r="AA84" s="6">
        <v>3</v>
      </c>
      <c r="AB84" s="6">
        <v>4</v>
      </c>
      <c r="AC84" s="6">
        <v>4</v>
      </c>
      <c r="AD84" s="6">
        <v>0</v>
      </c>
      <c r="AE84" s="6">
        <v>2.5</v>
      </c>
      <c r="AF84" s="6">
        <v>3.5</v>
      </c>
      <c r="AG84" s="6">
        <v>7</v>
      </c>
      <c r="AH84" s="6">
        <v>7.5</v>
      </c>
      <c r="AI84">
        <f t="shared" si="6"/>
        <v>38.5</v>
      </c>
      <c r="AJ84" s="8"/>
      <c r="AK84" s="7">
        <f t="shared" si="4"/>
        <v>75</v>
      </c>
    </row>
    <row r="85" spans="1:37" x14ac:dyDescent="0.25">
      <c r="A85">
        <v>73</v>
      </c>
      <c r="B85" s="6" t="s">
        <v>327</v>
      </c>
      <c r="C85" s="6" t="s">
        <v>328</v>
      </c>
      <c r="D85" s="6"/>
      <c r="E85" s="6">
        <v>1</v>
      </c>
      <c r="F85">
        <v>1</v>
      </c>
      <c r="G85">
        <v>1</v>
      </c>
      <c r="H85" s="6">
        <v>1</v>
      </c>
      <c r="I85" s="6">
        <v>1</v>
      </c>
      <c r="J85" s="6">
        <v>3.5</v>
      </c>
      <c r="K85" s="6">
        <v>4</v>
      </c>
      <c r="L85" s="6">
        <v>3.5</v>
      </c>
      <c r="M85" s="6">
        <v>6.5</v>
      </c>
      <c r="N85" s="1">
        <f t="shared" si="5"/>
        <v>22.5</v>
      </c>
      <c r="O85" s="6">
        <v>9</v>
      </c>
      <c r="P85" s="1">
        <v>5</v>
      </c>
      <c r="Q85" s="6">
        <v>1</v>
      </c>
      <c r="R85" s="6">
        <v>1</v>
      </c>
      <c r="S85" s="6">
        <v>1</v>
      </c>
      <c r="T85" s="6">
        <v>0</v>
      </c>
      <c r="U85" s="6">
        <v>0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4</v>
      </c>
      <c r="AB85" s="6">
        <v>4</v>
      </c>
      <c r="AC85" s="6">
        <v>3.5</v>
      </c>
      <c r="AD85" s="6">
        <v>3.5</v>
      </c>
      <c r="AE85" s="6">
        <v>4</v>
      </c>
      <c r="AF85" s="6">
        <v>4</v>
      </c>
      <c r="AG85" s="6">
        <v>8</v>
      </c>
      <c r="AH85" s="6">
        <v>7.5</v>
      </c>
      <c r="AI85">
        <f t="shared" si="6"/>
        <v>46.5</v>
      </c>
      <c r="AJ85" s="8"/>
      <c r="AK85" s="7">
        <f t="shared" si="4"/>
        <v>91</v>
      </c>
    </row>
    <row r="86" spans="1:37" x14ac:dyDescent="0.25">
      <c r="A86">
        <v>74</v>
      </c>
      <c r="B86" s="6" t="s">
        <v>329</v>
      </c>
      <c r="C86" s="6" t="s">
        <v>330</v>
      </c>
      <c r="D86" s="6"/>
      <c r="E86" s="6">
        <v>1</v>
      </c>
      <c r="F86">
        <v>1</v>
      </c>
      <c r="G86">
        <v>1</v>
      </c>
      <c r="H86" s="6">
        <v>1</v>
      </c>
      <c r="I86" s="6">
        <v>1</v>
      </c>
      <c r="J86" s="6">
        <v>3.5</v>
      </c>
      <c r="K86" s="6">
        <v>3</v>
      </c>
      <c r="L86" s="6">
        <v>3.5</v>
      </c>
      <c r="M86" s="6">
        <v>6.5</v>
      </c>
      <c r="N86" s="1">
        <f t="shared" si="5"/>
        <v>21.5</v>
      </c>
      <c r="O86" s="6">
        <v>9</v>
      </c>
      <c r="P86" s="1">
        <v>3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4</v>
      </c>
      <c r="AB86" s="6">
        <v>4</v>
      </c>
      <c r="AC86" s="6">
        <v>4</v>
      </c>
      <c r="AD86" s="6">
        <v>4</v>
      </c>
      <c r="AE86" s="6">
        <v>4</v>
      </c>
      <c r="AF86" s="6">
        <v>3</v>
      </c>
      <c r="AG86" s="6">
        <v>7</v>
      </c>
      <c r="AH86" s="6">
        <v>7</v>
      </c>
      <c r="AI86">
        <f t="shared" si="6"/>
        <v>47</v>
      </c>
      <c r="AJ86" s="8"/>
      <c r="AK86" s="7">
        <f t="shared" si="4"/>
        <v>92</v>
      </c>
    </row>
    <row r="87" spans="1:37" x14ac:dyDescent="0.25">
      <c r="A87">
        <v>75</v>
      </c>
      <c r="B87" s="6" t="s">
        <v>331</v>
      </c>
      <c r="C87" s="6" t="s">
        <v>332</v>
      </c>
      <c r="D87" s="6"/>
      <c r="E87" s="6">
        <v>1</v>
      </c>
      <c r="F87">
        <v>1</v>
      </c>
      <c r="G87">
        <v>0.5</v>
      </c>
      <c r="H87" s="6">
        <v>1</v>
      </c>
      <c r="I87" s="6">
        <v>0</v>
      </c>
      <c r="J87" s="6">
        <v>1</v>
      </c>
      <c r="K87" s="6">
        <v>2.5</v>
      </c>
      <c r="L87" s="6">
        <v>3</v>
      </c>
      <c r="M87" s="6">
        <v>4.5</v>
      </c>
      <c r="N87" s="1">
        <f t="shared" si="5"/>
        <v>14.5</v>
      </c>
      <c r="O87" s="6">
        <v>8</v>
      </c>
      <c r="P87" s="1">
        <v>1.5</v>
      </c>
      <c r="Q87" s="6">
        <v>1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1</v>
      </c>
      <c r="Z87" s="6">
        <v>0</v>
      </c>
      <c r="AA87" s="6">
        <v>2</v>
      </c>
      <c r="AB87" s="6">
        <v>1</v>
      </c>
      <c r="AC87" s="6">
        <v>1</v>
      </c>
      <c r="AD87" s="6">
        <v>2</v>
      </c>
      <c r="AE87" s="6">
        <v>3</v>
      </c>
      <c r="AF87" s="6">
        <v>2</v>
      </c>
      <c r="AG87" s="6">
        <v>3</v>
      </c>
      <c r="AH87" s="6">
        <v>5</v>
      </c>
      <c r="AI87">
        <f t="shared" si="6"/>
        <v>23</v>
      </c>
      <c r="AJ87" s="8"/>
      <c r="AK87" s="7">
        <f t="shared" si="4"/>
        <v>44</v>
      </c>
    </row>
    <row r="88" spans="1:37" x14ac:dyDescent="0.25">
      <c r="A88">
        <v>76</v>
      </c>
      <c r="B88" s="6" t="s">
        <v>333</v>
      </c>
      <c r="C88" s="6" t="s">
        <v>334</v>
      </c>
      <c r="D88" s="6"/>
      <c r="E88" s="6">
        <v>1</v>
      </c>
      <c r="F88">
        <v>1</v>
      </c>
      <c r="G88">
        <v>1</v>
      </c>
      <c r="H88" s="6">
        <v>1</v>
      </c>
      <c r="I88" s="6">
        <v>1</v>
      </c>
      <c r="J88" s="6">
        <v>3</v>
      </c>
      <c r="K88" s="6">
        <v>2</v>
      </c>
      <c r="L88" s="6">
        <v>3.5</v>
      </c>
      <c r="M88" s="6">
        <v>6</v>
      </c>
      <c r="N88" s="1">
        <f t="shared" si="5"/>
        <v>19.5</v>
      </c>
      <c r="O88" s="6">
        <v>8</v>
      </c>
      <c r="P88" s="1">
        <v>5</v>
      </c>
      <c r="Q88" s="6">
        <v>1</v>
      </c>
      <c r="R88" s="6">
        <v>1</v>
      </c>
      <c r="S88" s="6">
        <v>1</v>
      </c>
      <c r="T88" s="6">
        <v>1</v>
      </c>
      <c r="U88" s="6">
        <v>0</v>
      </c>
      <c r="V88" s="6">
        <v>0</v>
      </c>
      <c r="W88" s="6">
        <v>1</v>
      </c>
      <c r="X88" s="6">
        <v>1</v>
      </c>
      <c r="Y88" s="6">
        <v>0.5</v>
      </c>
      <c r="Z88" s="6">
        <v>0</v>
      </c>
      <c r="AA88" s="6">
        <v>4</v>
      </c>
      <c r="AB88" s="6">
        <v>4</v>
      </c>
      <c r="AC88" s="6">
        <v>3</v>
      </c>
      <c r="AD88" s="6">
        <v>3.5</v>
      </c>
      <c r="AE88" s="6">
        <v>3</v>
      </c>
      <c r="AF88" s="6">
        <v>3.5</v>
      </c>
      <c r="AG88" s="6">
        <v>7</v>
      </c>
      <c r="AH88" s="6">
        <v>7</v>
      </c>
      <c r="AI88">
        <f t="shared" si="6"/>
        <v>41.5</v>
      </c>
      <c r="AJ88" s="8"/>
      <c r="AK88" s="7">
        <f t="shared" si="4"/>
        <v>81</v>
      </c>
    </row>
    <row r="89" spans="1:37" x14ac:dyDescent="0.25">
      <c r="A89">
        <v>77</v>
      </c>
      <c r="B89" s="6"/>
      <c r="C89" s="6"/>
      <c r="N89" s="1">
        <f t="shared" ref="N89:N90" si="7">SUM(E89:M89)</f>
        <v>0</v>
      </c>
      <c r="O89" s="6"/>
      <c r="P89" s="6"/>
      <c r="AF89" s="8"/>
      <c r="AG89" s="8"/>
      <c r="AH89" s="8"/>
      <c r="AI89" s="7">
        <f t="shared" si="4"/>
        <v>0</v>
      </c>
    </row>
    <row r="90" spans="1:37" x14ac:dyDescent="0.25">
      <c r="A90">
        <v>78</v>
      </c>
      <c r="B90" s="6"/>
      <c r="C90" s="6"/>
      <c r="N90" s="1">
        <f t="shared" si="7"/>
        <v>0</v>
      </c>
      <c r="O90" s="6"/>
      <c r="P90" s="6"/>
      <c r="AF90" s="8"/>
      <c r="AG90" s="8"/>
      <c r="AI90" s="7">
        <f t="shared" si="4"/>
        <v>0</v>
      </c>
    </row>
    <row r="91" spans="1:37" x14ac:dyDescent="0.25">
      <c r="N91" s="1"/>
    </row>
    <row r="92" spans="1:37" x14ac:dyDescent="0.25">
      <c r="A92" s="93" t="s">
        <v>51</v>
      </c>
      <c r="B92" s="93"/>
      <c r="C92" s="93"/>
      <c r="E92">
        <f t="shared" ref="E92:M92" si="8">COUNTA(E13:E90)</f>
        <v>76</v>
      </c>
      <c r="F92">
        <f t="shared" si="8"/>
        <v>76</v>
      </c>
      <c r="G92">
        <f t="shared" si="8"/>
        <v>76</v>
      </c>
      <c r="H92">
        <f t="shared" si="8"/>
        <v>76</v>
      </c>
      <c r="I92">
        <f t="shared" si="8"/>
        <v>76</v>
      </c>
      <c r="J92">
        <f t="shared" si="8"/>
        <v>76</v>
      </c>
      <c r="K92">
        <f t="shared" si="8"/>
        <v>76</v>
      </c>
      <c r="L92">
        <f t="shared" si="8"/>
        <v>76</v>
      </c>
      <c r="M92">
        <f t="shared" si="8"/>
        <v>76</v>
      </c>
      <c r="N92" s="1">
        <f t="shared" ref="N92:AH92" si="9">COUNT(N13:N90)</f>
        <v>75</v>
      </c>
      <c r="O92">
        <f t="shared" si="9"/>
        <v>75</v>
      </c>
      <c r="P92">
        <f t="shared" si="9"/>
        <v>73</v>
      </c>
      <c r="Q92">
        <f t="shared" si="9"/>
        <v>71</v>
      </c>
      <c r="R92">
        <f t="shared" si="9"/>
        <v>71</v>
      </c>
      <c r="S92">
        <f t="shared" si="9"/>
        <v>71</v>
      </c>
      <c r="T92">
        <f t="shared" si="9"/>
        <v>71</v>
      </c>
      <c r="U92">
        <f t="shared" si="9"/>
        <v>71</v>
      </c>
      <c r="V92">
        <f t="shared" si="9"/>
        <v>71</v>
      </c>
      <c r="W92">
        <f t="shared" si="9"/>
        <v>71</v>
      </c>
      <c r="X92">
        <f t="shared" si="9"/>
        <v>71</v>
      </c>
      <c r="Y92">
        <f t="shared" si="9"/>
        <v>71</v>
      </c>
      <c r="Z92">
        <f t="shared" si="9"/>
        <v>71</v>
      </c>
      <c r="AA92">
        <f t="shared" si="9"/>
        <v>71</v>
      </c>
      <c r="AB92">
        <f t="shared" si="9"/>
        <v>71</v>
      </c>
      <c r="AC92">
        <f t="shared" si="9"/>
        <v>71</v>
      </c>
      <c r="AD92">
        <f t="shared" si="9"/>
        <v>71</v>
      </c>
      <c r="AE92">
        <f t="shared" si="9"/>
        <v>71</v>
      </c>
      <c r="AF92">
        <f t="shared" si="9"/>
        <v>71</v>
      </c>
      <c r="AG92">
        <f t="shared" si="9"/>
        <v>71</v>
      </c>
      <c r="AH92">
        <f t="shared" si="9"/>
        <v>71</v>
      </c>
    </row>
    <row r="93" spans="1:37" x14ac:dyDescent="0.25">
      <c r="A93" s="94" t="s">
        <v>52</v>
      </c>
      <c r="B93" s="94"/>
      <c r="C93" s="94"/>
      <c r="E93">
        <f t="shared" ref="E93:M93" si="10">COUNTIF(E13:E90,"&gt;="&amp;E10)</f>
        <v>69</v>
      </c>
      <c r="F93">
        <f t="shared" si="10"/>
        <v>66</v>
      </c>
      <c r="G93">
        <f t="shared" si="10"/>
        <v>60</v>
      </c>
      <c r="H93">
        <f t="shared" si="10"/>
        <v>57</v>
      </c>
      <c r="I93">
        <f t="shared" si="10"/>
        <v>58</v>
      </c>
      <c r="J93">
        <f t="shared" si="10"/>
        <v>62</v>
      </c>
      <c r="K93">
        <f t="shared" si="10"/>
        <v>64</v>
      </c>
      <c r="L93">
        <f t="shared" si="10"/>
        <v>68</v>
      </c>
      <c r="M93">
        <f t="shared" si="10"/>
        <v>72</v>
      </c>
      <c r="O93">
        <f t="shared" ref="O93:AH93" si="11">COUNTIF(O13:O90,"&gt;="&amp;O10)</f>
        <v>75</v>
      </c>
      <c r="P93">
        <f t="shared" si="11"/>
        <v>47</v>
      </c>
      <c r="Q93">
        <f t="shared" si="11"/>
        <v>60</v>
      </c>
      <c r="R93">
        <f t="shared" si="11"/>
        <v>62</v>
      </c>
      <c r="S93">
        <f t="shared" si="11"/>
        <v>58</v>
      </c>
      <c r="T93">
        <f t="shared" si="11"/>
        <v>58</v>
      </c>
      <c r="U93">
        <f t="shared" si="11"/>
        <v>33</v>
      </c>
      <c r="V93">
        <f t="shared" si="11"/>
        <v>43</v>
      </c>
      <c r="W93">
        <f t="shared" si="11"/>
        <v>36</v>
      </c>
      <c r="X93">
        <f t="shared" si="11"/>
        <v>43</v>
      </c>
      <c r="Y93">
        <f t="shared" si="11"/>
        <v>38</v>
      </c>
      <c r="Z93">
        <f t="shared" si="11"/>
        <v>35</v>
      </c>
      <c r="AA93">
        <f t="shared" si="11"/>
        <v>62</v>
      </c>
      <c r="AB93">
        <f t="shared" si="11"/>
        <v>66</v>
      </c>
      <c r="AC93">
        <f t="shared" si="11"/>
        <v>63</v>
      </c>
      <c r="AD93">
        <f t="shared" si="11"/>
        <v>63</v>
      </c>
      <c r="AE93">
        <f t="shared" si="11"/>
        <v>56</v>
      </c>
      <c r="AF93">
        <f t="shared" si="11"/>
        <v>65</v>
      </c>
      <c r="AG93">
        <f t="shared" si="11"/>
        <v>63</v>
      </c>
      <c r="AH93">
        <f t="shared" si="11"/>
        <v>64</v>
      </c>
    </row>
    <row r="94" spans="1:37" x14ac:dyDescent="0.25">
      <c r="A94" s="94"/>
      <c r="B94" s="94"/>
      <c r="C94" s="94"/>
    </row>
    <row r="95" spans="1:37" x14ac:dyDescent="0.25">
      <c r="A95" s="93" t="s">
        <v>53</v>
      </c>
      <c r="B95" s="93"/>
      <c r="C95" s="93"/>
      <c r="E95" s="10">
        <f>((E93/E92)*100)</f>
        <v>90.789473684210535</v>
      </c>
      <c r="F95" s="10">
        <f t="shared" ref="F95:AH95" si="12">((F93/F92)*100)</f>
        <v>86.842105263157904</v>
      </c>
      <c r="G95" s="10">
        <f t="shared" si="12"/>
        <v>78.94736842105263</v>
      </c>
      <c r="H95" s="10">
        <f t="shared" si="12"/>
        <v>75</v>
      </c>
      <c r="I95" s="10">
        <f t="shared" si="12"/>
        <v>76.31578947368422</v>
      </c>
      <c r="J95" s="10">
        <f t="shared" si="12"/>
        <v>81.578947368421055</v>
      </c>
      <c r="K95" s="10">
        <f t="shared" si="12"/>
        <v>84.210526315789465</v>
      </c>
      <c r="L95" s="10">
        <f t="shared" si="12"/>
        <v>89.473684210526315</v>
      </c>
      <c r="M95" s="10">
        <f t="shared" si="12"/>
        <v>94.73684210526315</v>
      </c>
      <c r="N95" s="10"/>
      <c r="O95" s="10">
        <f t="shared" si="12"/>
        <v>100</v>
      </c>
      <c r="P95" s="10">
        <f t="shared" si="12"/>
        <v>64.38356164383562</v>
      </c>
      <c r="Q95" s="10">
        <f t="shared" si="12"/>
        <v>84.507042253521121</v>
      </c>
      <c r="R95" s="10">
        <f t="shared" si="12"/>
        <v>87.323943661971825</v>
      </c>
      <c r="S95" s="10">
        <f t="shared" si="12"/>
        <v>81.690140845070431</v>
      </c>
      <c r="T95" s="10">
        <f t="shared" si="12"/>
        <v>81.690140845070431</v>
      </c>
      <c r="U95" s="10">
        <f t="shared" si="12"/>
        <v>46.478873239436616</v>
      </c>
      <c r="V95" s="10">
        <f t="shared" si="12"/>
        <v>60.563380281690137</v>
      </c>
      <c r="W95" s="10">
        <f t="shared" si="12"/>
        <v>50.704225352112672</v>
      </c>
      <c r="X95" s="10">
        <f t="shared" si="12"/>
        <v>60.563380281690137</v>
      </c>
      <c r="Y95" s="10">
        <f t="shared" si="12"/>
        <v>53.521126760563376</v>
      </c>
      <c r="Z95" s="10">
        <f t="shared" si="12"/>
        <v>49.295774647887328</v>
      </c>
      <c r="AA95" s="10">
        <f t="shared" si="12"/>
        <v>87.323943661971825</v>
      </c>
      <c r="AB95" s="10">
        <f t="shared" si="12"/>
        <v>92.957746478873233</v>
      </c>
      <c r="AC95" s="10">
        <f t="shared" si="12"/>
        <v>88.732394366197184</v>
      </c>
      <c r="AD95" s="10">
        <f t="shared" si="12"/>
        <v>88.732394366197184</v>
      </c>
      <c r="AE95" s="10">
        <f t="shared" si="12"/>
        <v>78.873239436619713</v>
      </c>
      <c r="AF95" s="10">
        <f t="shared" si="12"/>
        <v>91.549295774647888</v>
      </c>
      <c r="AG95" s="10">
        <f t="shared" si="12"/>
        <v>88.732394366197184</v>
      </c>
      <c r="AH95" s="10">
        <f t="shared" si="12"/>
        <v>90.140845070422543</v>
      </c>
    </row>
    <row r="96" spans="1:37" x14ac:dyDescent="0.25">
      <c r="A96" s="92" t="s">
        <v>54</v>
      </c>
      <c r="B96" s="92"/>
      <c r="C96" s="92"/>
      <c r="D96" s="11"/>
      <c r="E96" s="11">
        <f>IF(E95&lt;=50, 0, IF(AND(E95&gt;50,E95&lt;=60),1, IF(AND(E95&gt;60,E95&lt;=70),2,IF(AND(E95&gt;70,E95&lt;=100),3))))</f>
        <v>3</v>
      </c>
      <c r="F96" s="11">
        <f t="shared" ref="F96:P96" si="13">IF(F95&lt;=50, 0, IF(AND(F95&gt;50,F95&lt;=60),1, IF(AND(F95&gt;60,F95&lt;=70),2,IF(AND(F95&gt;70,F95&lt;=100),3))))</f>
        <v>3</v>
      </c>
      <c r="G96" s="11">
        <f t="shared" si="13"/>
        <v>3</v>
      </c>
      <c r="H96" s="11">
        <f t="shared" si="13"/>
        <v>3</v>
      </c>
      <c r="I96" s="11">
        <f t="shared" si="13"/>
        <v>3</v>
      </c>
      <c r="J96" s="11">
        <f t="shared" si="13"/>
        <v>3</v>
      </c>
      <c r="K96" s="11">
        <f t="shared" si="13"/>
        <v>3</v>
      </c>
      <c r="L96" s="11">
        <f t="shared" si="13"/>
        <v>3</v>
      </c>
      <c r="M96" s="11">
        <f t="shared" si="13"/>
        <v>3</v>
      </c>
      <c r="N96" s="11"/>
      <c r="O96" s="11">
        <f t="shared" si="13"/>
        <v>3</v>
      </c>
      <c r="P96" s="11">
        <f t="shared" si="13"/>
        <v>2</v>
      </c>
      <c r="Q96" s="11">
        <v>3</v>
      </c>
      <c r="R96" s="11">
        <v>3</v>
      </c>
      <c r="S96" s="11">
        <v>3</v>
      </c>
      <c r="T96" s="11">
        <v>3</v>
      </c>
      <c r="U96" s="11">
        <v>3</v>
      </c>
      <c r="V96" s="11">
        <v>3</v>
      </c>
      <c r="W96" s="11">
        <v>3</v>
      </c>
      <c r="X96" s="11">
        <v>3</v>
      </c>
      <c r="Y96" s="11">
        <v>3</v>
      </c>
      <c r="Z96" s="11">
        <v>3</v>
      </c>
      <c r="AA96" s="11">
        <v>1</v>
      </c>
      <c r="AB96" s="11">
        <v>3</v>
      </c>
      <c r="AC96" s="11">
        <v>3</v>
      </c>
      <c r="AD96" s="11">
        <v>3</v>
      </c>
      <c r="AE96" s="11">
        <v>1</v>
      </c>
      <c r="AF96" s="11">
        <v>3</v>
      </c>
      <c r="AG96" s="11">
        <v>3</v>
      </c>
      <c r="AH96" s="11">
        <v>3</v>
      </c>
      <c r="AI96" s="11"/>
    </row>
    <row r="98" spans="2:3" x14ac:dyDescent="0.25">
      <c r="B98" t="s">
        <v>55</v>
      </c>
    </row>
    <row r="99" spans="2:3" x14ac:dyDescent="0.25">
      <c r="B99" t="s">
        <v>56</v>
      </c>
      <c r="C99">
        <v>1</v>
      </c>
    </row>
    <row r="100" spans="2:3" x14ac:dyDescent="0.25">
      <c r="B100" t="s">
        <v>57</v>
      </c>
      <c r="C100">
        <v>2</v>
      </c>
    </row>
    <row r="101" spans="2:3" x14ac:dyDescent="0.25">
      <c r="B101" t="s">
        <v>58</v>
      </c>
      <c r="C101">
        <v>3</v>
      </c>
    </row>
    <row r="102" spans="2:3" x14ac:dyDescent="0.25">
      <c r="B102" t="s">
        <v>59</v>
      </c>
      <c r="C102">
        <v>0</v>
      </c>
    </row>
  </sheetData>
  <mergeCells count="6">
    <mergeCell ref="A96:C96"/>
    <mergeCell ref="B10:D10"/>
    <mergeCell ref="B11:D11"/>
    <mergeCell ref="A92:C92"/>
    <mergeCell ref="A93:C94"/>
    <mergeCell ref="A95:C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D8" workbookViewId="0">
      <selection activeCell="M10" sqref="M10"/>
    </sheetView>
  </sheetViews>
  <sheetFormatPr defaultRowHeight="15" x14ac:dyDescent="0.25"/>
  <cols>
    <col min="2" max="2" width="13.140625" customWidth="1"/>
    <col min="3" max="4" width="15.28515625" customWidth="1"/>
    <col min="5" max="7" width="17.28515625" customWidth="1"/>
    <col min="9" max="9" width="19.28515625" bestFit="1" customWidth="1"/>
    <col min="13" max="13" width="52.7109375" customWidth="1"/>
  </cols>
  <sheetData>
    <row r="1" spans="1:13" x14ac:dyDescent="0.25">
      <c r="A1" s="95" t="s">
        <v>60</v>
      </c>
      <c r="B1" s="95"/>
      <c r="C1" s="95"/>
      <c r="D1" s="95"/>
      <c r="E1" s="95"/>
      <c r="F1" s="12"/>
      <c r="G1" s="12"/>
      <c r="H1" s="13"/>
      <c r="I1" s="14" t="s">
        <v>61</v>
      </c>
      <c r="J1" s="13"/>
      <c r="K1" s="13"/>
      <c r="L1" s="13"/>
      <c r="M1" s="13"/>
    </row>
    <row r="2" spans="1:13" ht="28.5" x14ac:dyDescent="0.25">
      <c r="A2" s="15" t="s">
        <v>62</v>
      </c>
      <c r="B2" s="15" t="s">
        <v>63</v>
      </c>
      <c r="C2" s="15" t="s">
        <v>64</v>
      </c>
      <c r="D2" s="81"/>
      <c r="E2" s="15" t="s">
        <v>54</v>
      </c>
      <c r="F2" s="16"/>
      <c r="G2" s="16"/>
      <c r="H2" s="13"/>
      <c r="I2" s="15" t="s">
        <v>65</v>
      </c>
      <c r="J2" s="98" t="s">
        <v>66</v>
      </c>
      <c r="K2" s="98"/>
      <c r="L2" s="98"/>
      <c r="M2" s="98"/>
    </row>
    <row r="3" spans="1:13" ht="15" customHeight="1" x14ac:dyDescent="0.25">
      <c r="A3" s="112" t="s">
        <v>5</v>
      </c>
      <c r="B3" s="17" t="s">
        <v>11</v>
      </c>
      <c r="C3" s="18" t="s">
        <v>74</v>
      </c>
      <c r="D3" s="18" t="s">
        <v>177</v>
      </c>
      <c r="E3" s="18">
        <v>0</v>
      </c>
      <c r="F3" s="19"/>
      <c r="G3" s="19"/>
      <c r="H3" s="13"/>
      <c r="I3" s="20" t="s">
        <v>5</v>
      </c>
      <c r="J3" s="79" t="s">
        <v>180</v>
      </c>
      <c r="K3" s="90"/>
      <c r="L3" s="90"/>
      <c r="M3" s="91"/>
    </row>
    <row r="4" spans="1:13" x14ac:dyDescent="0.25">
      <c r="A4" s="113"/>
      <c r="B4" s="17"/>
      <c r="C4" s="18" t="s">
        <v>74</v>
      </c>
      <c r="D4" s="18" t="s">
        <v>178</v>
      </c>
      <c r="E4" s="18">
        <v>3</v>
      </c>
      <c r="F4" s="19"/>
      <c r="G4" s="19"/>
      <c r="H4" s="13"/>
      <c r="I4" s="20" t="s">
        <v>6</v>
      </c>
      <c r="J4" s="79" t="s">
        <v>181</v>
      </c>
      <c r="K4" s="90"/>
      <c r="L4" s="90"/>
      <c r="M4" s="91"/>
    </row>
    <row r="5" spans="1:13" x14ac:dyDescent="0.25">
      <c r="A5" s="113"/>
      <c r="B5" s="22"/>
      <c r="C5" s="25" t="s">
        <v>22</v>
      </c>
      <c r="D5" s="18" t="s">
        <v>177</v>
      </c>
      <c r="E5" s="23">
        <v>3</v>
      </c>
      <c r="F5" s="19"/>
      <c r="G5" s="19"/>
      <c r="H5" s="13"/>
      <c r="I5" s="20" t="s">
        <v>7</v>
      </c>
      <c r="J5" s="79" t="s">
        <v>182</v>
      </c>
      <c r="K5" s="90"/>
      <c r="L5" s="90"/>
      <c r="M5" s="91"/>
    </row>
    <row r="6" spans="1:13" x14ac:dyDescent="0.25">
      <c r="A6" s="113"/>
      <c r="B6" s="22" t="s">
        <v>15</v>
      </c>
      <c r="C6" s="26" t="s">
        <v>74</v>
      </c>
      <c r="D6" s="18" t="s">
        <v>178</v>
      </c>
      <c r="E6" s="23">
        <v>3</v>
      </c>
      <c r="F6" s="19"/>
      <c r="G6" s="19"/>
      <c r="H6" s="13"/>
      <c r="I6" s="20" t="s">
        <v>8</v>
      </c>
      <c r="J6" s="79" t="s">
        <v>183</v>
      </c>
      <c r="K6" s="90"/>
      <c r="L6" s="90"/>
      <c r="M6" s="91"/>
    </row>
    <row r="7" spans="1:13" x14ac:dyDescent="0.25">
      <c r="A7" s="113"/>
      <c r="B7" s="22"/>
      <c r="C7" s="27" t="s">
        <v>23</v>
      </c>
      <c r="D7" s="27"/>
      <c r="E7" s="23">
        <v>1</v>
      </c>
      <c r="F7" s="19"/>
      <c r="G7" s="19"/>
      <c r="H7" s="13"/>
      <c r="I7" s="20" t="s">
        <v>9</v>
      </c>
      <c r="J7" s="79" t="s">
        <v>184</v>
      </c>
      <c r="K7" s="90"/>
      <c r="L7" s="90"/>
      <c r="M7" s="91"/>
    </row>
    <row r="8" spans="1:13" x14ac:dyDescent="0.25">
      <c r="A8" s="113"/>
      <c r="B8" s="21"/>
      <c r="C8" s="18"/>
      <c r="D8" s="18"/>
      <c r="E8" s="18"/>
      <c r="F8" s="19"/>
      <c r="G8" s="19"/>
      <c r="H8" s="13"/>
      <c r="I8" s="20"/>
      <c r="J8" s="114"/>
      <c r="K8" s="115"/>
      <c r="L8" s="115"/>
      <c r="M8" s="116"/>
    </row>
    <row r="9" spans="1:13" x14ac:dyDescent="0.25">
      <c r="A9" s="113"/>
      <c r="B9" s="32"/>
      <c r="C9" s="32"/>
      <c r="D9" s="32"/>
      <c r="E9" s="32"/>
      <c r="F9" s="19"/>
      <c r="G9" s="19"/>
      <c r="H9" s="13"/>
      <c r="I9" s="24"/>
      <c r="J9" s="24"/>
      <c r="K9" s="24"/>
      <c r="L9" s="24"/>
      <c r="M9" s="24"/>
    </row>
    <row r="10" spans="1:13" x14ac:dyDescent="0.25">
      <c r="A10" s="113"/>
      <c r="B10" s="32"/>
      <c r="C10" s="32"/>
      <c r="D10" s="32"/>
      <c r="E10" s="32"/>
      <c r="F10" s="19"/>
      <c r="G10" s="19"/>
      <c r="H10" s="13"/>
      <c r="I10" s="24"/>
      <c r="J10" s="24"/>
      <c r="K10" s="24"/>
      <c r="L10" s="24"/>
      <c r="M10" s="24"/>
    </row>
    <row r="11" spans="1:13" x14ac:dyDescent="0.25">
      <c r="A11" s="113"/>
      <c r="B11" s="32"/>
      <c r="C11" s="32"/>
      <c r="D11" s="32"/>
      <c r="E11" s="32"/>
      <c r="F11" s="19"/>
      <c r="G11" s="19"/>
      <c r="H11" s="13"/>
      <c r="I11" s="24"/>
      <c r="J11" s="24"/>
      <c r="K11" s="24"/>
      <c r="L11" s="24"/>
      <c r="M11" s="24"/>
    </row>
    <row r="12" spans="1:13" x14ac:dyDescent="0.25">
      <c r="A12" s="113"/>
      <c r="B12" s="21"/>
      <c r="C12" s="89"/>
      <c r="D12" s="89"/>
      <c r="E12" s="89"/>
      <c r="F12" s="19"/>
      <c r="G12" s="19"/>
      <c r="H12" s="13"/>
      <c r="I12" s="13"/>
      <c r="J12" s="13"/>
      <c r="K12" s="13"/>
      <c r="L12" s="13"/>
      <c r="M12" s="13"/>
    </row>
    <row r="13" spans="1:13" x14ac:dyDescent="0.25">
      <c r="A13" s="117" t="s">
        <v>67</v>
      </c>
      <c r="B13" s="118"/>
      <c r="C13" s="119"/>
      <c r="D13" s="80"/>
      <c r="E13" s="28">
        <f>AVERAGE(E3:E12)</f>
        <v>2</v>
      </c>
      <c r="F13" s="29"/>
      <c r="G13" s="30"/>
      <c r="H13" s="13"/>
      <c r="I13" s="95" t="s">
        <v>68</v>
      </c>
      <c r="J13" s="95"/>
      <c r="K13" s="95"/>
      <c r="L13" s="95"/>
      <c r="M13" s="13"/>
    </row>
    <row r="14" spans="1:13" x14ac:dyDescent="0.25">
      <c r="A14" s="95" t="s">
        <v>69</v>
      </c>
      <c r="B14" s="95"/>
      <c r="C14" s="95"/>
      <c r="D14" s="95"/>
      <c r="E14" s="95"/>
      <c r="F14" s="12"/>
      <c r="G14" s="12"/>
      <c r="H14" s="13"/>
      <c r="I14" s="31" t="s">
        <v>70</v>
      </c>
      <c r="J14" s="95" t="s">
        <v>71</v>
      </c>
      <c r="K14" s="95"/>
      <c r="L14" s="108" t="s">
        <v>72</v>
      </c>
      <c r="M14" s="13"/>
    </row>
    <row r="15" spans="1:13" ht="28.5" x14ac:dyDescent="0.25">
      <c r="A15" s="15" t="s">
        <v>62</v>
      </c>
      <c r="B15" s="15" t="s">
        <v>63</v>
      </c>
      <c r="C15" s="15" t="s">
        <v>64</v>
      </c>
      <c r="D15" s="81"/>
      <c r="E15" s="32"/>
      <c r="F15" s="15" t="s">
        <v>54</v>
      </c>
      <c r="G15" s="16"/>
      <c r="H15" s="13"/>
      <c r="I15" s="68" t="s">
        <v>73</v>
      </c>
      <c r="J15" s="98"/>
      <c r="K15" s="98"/>
      <c r="L15" s="108"/>
      <c r="M15" s="13"/>
    </row>
    <row r="16" spans="1:13" x14ac:dyDescent="0.25">
      <c r="A16" s="96" t="s">
        <v>6</v>
      </c>
      <c r="B16" s="32" t="s">
        <v>11</v>
      </c>
      <c r="C16" s="33" t="s">
        <v>74</v>
      </c>
      <c r="D16" s="33"/>
      <c r="E16" s="33" t="s">
        <v>33</v>
      </c>
      <c r="F16" s="33">
        <v>3</v>
      </c>
      <c r="G16" s="19"/>
      <c r="H16" s="13"/>
      <c r="I16" s="20" t="s">
        <v>5</v>
      </c>
      <c r="J16" s="110">
        <v>2</v>
      </c>
      <c r="K16" s="110"/>
      <c r="L16" s="32">
        <v>2.6727272727272728</v>
      </c>
      <c r="M16" s="13"/>
    </row>
    <row r="17" spans="1:13" x14ac:dyDescent="0.25">
      <c r="A17" s="96"/>
      <c r="B17" s="32" t="s">
        <v>11</v>
      </c>
      <c r="C17" s="33" t="s">
        <v>22</v>
      </c>
      <c r="D17" s="33"/>
      <c r="E17" s="33" t="s">
        <v>37</v>
      </c>
      <c r="F17" s="33">
        <v>3</v>
      </c>
      <c r="G17" s="19"/>
      <c r="H17" s="13"/>
      <c r="I17" s="20" t="s">
        <v>6</v>
      </c>
      <c r="J17" s="110">
        <v>3</v>
      </c>
      <c r="K17" s="110"/>
      <c r="L17" s="79">
        <v>2.418181818181818</v>
      </c>
      <c r="M17" s="13"/>
    </row>
    <row r="18" spans="1:13" x14ac:dyDescent="0.25">
      <c r="A18" s="96"/>
      <c r="B18" s="32" t="s">
        <v>11</v>
      </c>
      <c r="C18" s="33" t="s">
        <v>24</v>
      </c>
      <c r="D18" s="33"/>
      <c r="E18" s="33"/>
      <c r="F18" s="33">
        <v>3</v>
      </c>
      <c r="G18" s="19"/>
      <c r="H18" s="13"/>
      <c r="I18" s="20" t="s">
        <v>75</v>
      </c>
      <c r="J18" s="110">
        <v>2.7142857142857144</v>
      </c>
      <c r="K18" s="110"/>
      <c r="L18" s="79">
        <v>2.4727272727272727</v>
      </c>
      <c r="M18" s="13"/>
    </row>
    <row r="19" spans="1:13" x14ac:dyDescent="0.25">
      <c r="A19" s="96"/>
      <c r="B19" s="32" t="s">
        <v>11</v>
      </c>
      <c r="C19" s="33" t="s">
        <v>26</v>
      </c>
      <c r="D19" s="33"/>
      <c r="E19" s="33"/>
      <c r="F19" s="33">
        <v>3</v>
      </c>
      <c r="G19" s="19"/>
      <c r="H19" s="13"/>
      <c r="I19" s="20" t="s">
        <v>8</v>
      </c>
      <c r="J19" s="110">
        <v>2.6</v>
      </c>
      <c r="K19" s="110"/>
      <c r="L19" s="79">
        <v>2.4545454545454546</v>
      </c>
      <c r="M19" s="13"/>
    </row>
    <row r="20" spans="1:13" x14ac:dyDescent="0.25">
      <c r="A20" s="96"/>
      <c r="B20" s="32" t="s">
        <v>15</v>
      </c>
      <c r="C20" s="33" t="s">
        <v>17</v>
      </c>
      <c r="D20" s="33"/>
      <c r="E20" s="33" t="s">
        <v>33</v>
      </c>
      <c r="F20" s="33">
        <v>3</v>
      </c>
      <c r="G20" s="19"/>
      <c r="H20" s="13"/>
      <c r="I20" s="20" t="s">
        <v>9</v>
      </c>
      <c r="J20" s="110">
        <v>3</v>
      </c>
      <c r="K20" s="110"/>
      <c r="L20" s="79">
        <v>2.5272727272727273</v>
      </c>
      <c r="M20" s="13"/>
    </row>
    <row r="21" spans="1:13" x14ac:dyDescent="0.25">
      <c r="A21" s="96"/>
      <c r="B21" s="32"/>
      <c r="C21" s="33" t="s">
        <v>17</v>
      </c>
      <c r="D21" s="33"/>
      <c r="E21" s="33" t="s">
        <v>37</v>
      </c>
      <c r="F21" s="33">
        <v>3</v>
      </c>
      <c r="G21" s="19"/>
      <c r="H21" s="13"/>
      <c r="I21" s="20"/>
      <c r="J21" s="110"/>
      <c r="K21" s="110"/>
      <c r="L21" s="21"/>
      <c r="M21" s="13"/>
    </row>
    <row r="22" spans="1:13" x14ac:dyDescent="0.25">
      <c r="A22" s="96"/>
      <c r="B22" s="32"/>
      <c r="C22" s="33" t="s">
        <v>19</v>
      </c>
      <c r="D22" s="33"/>
      <c r="E22" s="33"/>
      <c r="F22" s="59">
        <v>3</v>
      </c>
      <c r="G22" s="19"/>
      <c r="H22" s="13"/>
      <c r="I22" s="20"/>
      <c r="J22" s="20"/>
      <c r="K22" s="20"/>
      <c r="L22" s="20"/>
      <c r="M22" s="13"/>
    </row>
    <row r="23" spans="1:13" x14ac:dyDescent="0.25">
      <c r="A23" s="96"/>
      <c r="B23" s="21"/>
      <c r="C23" s="21"/>
      <c r="D23" s="21"/>
      <c r="E23" s="21"/>
      <c r="F23" s="58"/>
      <c r="G23" s="19"/>
      <c r="H23" s="13"/>
      <c r="I23" s="20"/>
      <c r="J23" s="20"/>
      <c r="K23" s="20"/>
      <c r="L23" s="20"/>
      <c r="M23" s="13"/>
    </row>
    <row r="24" spans="1:13" x14ac:dyDescent="0.25">
      <c r="A24" s="96"/>
      <c r="G24" s="19"/>
      <c r="H24" s="13"/>
      <c r="I24" s="20"/>
      <c r="J24" s="20"/>
      <c r="K24" s="20"/>
      <c r="L24" s="20"/>
      <c r="M24" s="13"/>
    </row>
    <row r="25" spans="1:13" x14ac:dyDescent="0.25">
      <c r="A25" s="96"/>
      <c r="G25" s="19"/>
      <c r="H25" s="13"/>
      <c r="I25" s="69" t="s">
        <v>76</v>
      </c>
      <c r="J25" s="96">
        <f>AVERAGE(J16:K21)</f>
        <v>2.6628571428571428</v>
      </c>
      <c r="K25" s="96"/>
      <c r="L25" s="35">
        <f>AVERAGE(L16:L20)</f>
        <v>2.5090909090909088</v>
      </c>
      <c r="M25" s="13"/>
    </row>
    <row r="26" spans="1:13" x14ac:dyDescent="0.25">
      <c r="A26" s="101" t="s">
        <v>77</v>
      </c>
      <c r="B26" s="102"/>
      <c r="C26" s="103"/>
      <c r="D26" s="83"/>
      <c r="E26" s="36"/>
      <c r="F26" s="21">
        <f>AVERAGE(F16:F23)</f>
        <v>3</v>
      </c>
      <c r="G26" s="30"/>
      <c r="H26" s="13"/>
      <c r="I26" s="69" t="s">
        <v>78</v>
      </c>
      <c r="J26" s="111">
        <v>0.8</v>
      </c>
      <c r="K26" s="111"/>
      <c r="L26" s="37">
        <v>0.2</v>
      </c>
      <c r="M26" s="13"/>
    </row>
    <row r="27" spans="1:13" x14ac:dyDescent="0.25">
      <c r="A27" s="95" t="s">
        <v>79</v>
      </c>
      <c r="B27" s="95"/>
      <c r="C27" s="95"/>
      <c r="D27" s="95"/>
      <c r="E27" s="95"/>
      <c r="F27" s="38"/>
      <c r="G27" s="12"/>
      <c r="H27" s="13"/>
      <c r="I27" s="69" t="s">
        <v>80</v>
      </c>
      <c r="J27" s="96">
        <f>(0.8*J25)</f>
        <v>2.1302857142857143</v>
      </c>
      <c r="K27" s="96"/>
      <c r="L27" s="35">
        <f>(0.2*L25)</f>
        <v>0.50181818181818183</v>
      </c>
      <c r="M27" s="13"/>
    </row>
    <row r="28" spans="1:13" ht="28.5" x14ac:dyDescent="0.25">
      <c r="A28" s="15" t="s">
        <v>62</v>
      </c>
      <c r="B28" s="15" t="s">
        <v>63</v>
      </c>
      <c r="C28" s="15" t="s">
        <v>64</v>
      </c>
      <c r="D28" s="81"/>
      <c r="E28" s="32"/>
      <c r="F28" s="15" t="s">
        <v>54</v>
      </c>
      <c r="G28" s="16"/>
      <c r="H28" s="13"/>
      <c r="I28" s="69"/>
      <c r="J28" s="97"/>
      <c r="K28" s="98"/>
      <c r="L28" s="70"/>
      <c r="M28" s="13"/>
    </row>
    <row r="29" spans="1:13" x14ac:dyDescent="0.25">
      <c r="A29" s="96" t="s">
        <v>7</v>
      </c>
      <c r="B29" s="32" t="s">
        <v>11</v>
      </c>
      <c r="C29" s="33" t="s">
        <v>22</v>
      </c>
      <c r="D29" s="33"/>
      <c r="E29" s="33" t="s">
        <v>33</v>
      </c>
      <c r="F29" s="33">
        <v>3</v>
      </c>
      <c r="G29" s="19"/>
      <c r="H29" s="13"/>
      <c r="I29" s="69" t="s">
        <v>81</v>
      </c>
      <c r="J29" s="109">
        <f>SUM(J27+L27)</f>
        <v>2.6321038961038963</v>
      </c>
      <c r="K29" s="96"/>
      <c r="L29" s="96"/>
      <c r="M29" s="13"/>
    </row>
    <row r="30" spans="1:13" x14ac:dyDescent="0.25">
      <c r="A30" s="96"/>
      <c r="B30" s="32"/>
      <c r="C30" s="33" t="s">
        <v>22</v>
      </c>
      <c r="D30" s="33"/>
      <c r="E30" s="33" t="s">
        <v>37</v>
      </c>
      <c r="F30" s="33">
        <v>3</v>
      </c>
      <c r="G30" s="19"/>
      <c r="H30" s="13"/>
      <c r="I30" s="39"/>
      <c r="J30" s="40"/>
      <c r="K30" s="39"/>
      <c r="L30" s="39"/>
      <c r="M30" s="13"/>
    </row>
    <row r="31" spans="1:13" x14ac:dyDescent="0.25">
      <c r="A31" s="96"/>
      <c r="B31" s="32"/>
      <c r="C31" t="s">
        <v>25</v>
      </c>
      <c r="D31" s="33"/>
      <c r="E31" s="33"/>
      <c r="F31" s="33">
        <v>3</v>
      </c>
      <c r="G31" s="19"/>
      <c r="H31" s="13"/>
      <c r="I31" s="39"/>
      <c r="J31" s="40"/>
      <c r="K31" s="39"/>
      <c r="L31" s="39"/>
      <c r="M31" s="13"/>
    </row>
    <row r="32" spans="1:13" x14ac:dyDescent="0.25">
      <c r="A32" s="96"/>
      <c r="B32" s="32" t="s">
        <v>15</v>
      </c>
      <c r="C32" s="33" t="s">
        <v>22</v>
      </c>
      <c r="D32" s="33"/>
      <c r="E32" s="33" t="s">
        <v>179</v>
      </c>
      <c r="F32" s="33">
        <v>1</v>
      </c>
      <c r="G32" s="19"/>
      <c r="H32" s="13"/>
      <c r="I32" s="39"/>
      <c r="J32" s="40"/>
      <c r="K32" s="39"/>
      <c r="L32" s="39"/>
      <c r="M32" s="13"/>
    </row>
    <row r="33" spans="1:13" x14ac:dyDescent="0.25">
      <c r="A33" s="96"/>
      <c r="C33" s="33" t="s">
        <v>22</v>
      </c>
      <c r="E33" s="58" t="s">
        <v>38</v>
      </c>
      <c r="F33" s="58">
        <v>3</v>
      </c>
      <c r="G33" s="19"/>
      <c r="H33" s="13"/>
      <c r="I33" s="13"/>
      <c r="J33" s="13"/>
      <c r="K33" s="13"/>
      <c r="L33" s="13"/>
      <c r="M33" s="13"/>
    </row>
    <row r="34" spans="1:13" x14ac:dyDescent="0.25">
      <c r="A34" s="86"/>
      <c r="B34" s="64"/>
      <c r="C34" s="87" t="s">
        <v>25</v>
      </c>
      <c r="D34" s="87"/>
      <c r="E34" s="59"/>
      <c r="F34" s="33">
        <v>3</v>
      </c>
      <c r="G34" s="19"/>
      <c r="H34" s="13"/>
      <c r="I34" s="13"/>
      <c r="J34" s="13"/>
      <c r="K34" s="13"/>
      <c r="L34" s="13"/>
      <c r="M34" s="13"/>
    </row>
    <row r="35" spans="1:13" x14ac:dyDescent="0.25">
      <c r="A35" s="86"/>
      <c r="B35" s="64"/>
      <c r="C35" s="87" t="s">
        <v>29</v>
      </c>
      <c r="D35" s="87"/>
      <c r="E35" s="59"/>
      <c r="F35" s="33">
        <v>3</v>
      </c>
      <c r="G35" s="19"/>
      <c r="H35" s="13"/>
      <c r="I35" s="13"/>
      <c r="J35" s="13"/>
      <c r="K35" s="13"/>
      <c r="L35" s="13"/>
      <c r="M35" s="13"/>
    </row>
    <row r="36" spans="1:13" x14ac:dyDescent="0.25">
      <c r="A36" s="101" t="s">
        <v>82</v>
      </c>
      <c r="B36" s="102"/>
      <c r="C36" s="103"/>
      <c r="D36" s="83"/>
      <c r="E36" s="36"/>
      <c r="F36" s="28">
        <f>AVERAGE(F29:F35)</f>
        <v>2.7142857142857144</v>
      </c>
      <c r="G36" s="30"/>
      <c r="H36" s="13"/>
      <c r="I36" s="13"/>
      <c r="J36" s="13"/>
      <c r="K36" s="13"/>
      <c r="L36" s="13"/>
      <c r="M36" s="13"/>
    </row>
    <row r="37" spans="1:13" x14ac:dyDescent="0.25">
      <c r="A37" s="95" t="s">
        <v>83</v>
      </c>
      <c r="B37" s="95"/>
      <c r="C37" s="95"/>
      <c r="D37" s="95"/>
      <c r="E37" s="95"/>
      <c r="F37" s="38"/>
      <c r="G37" s="12"/>
      <c r="H37" s="13"/>
      <c r="I37" s="13"/>
      <c r="J37" s="13"/>
      <c r="K37" s="13"/>
      <c r="L37" s="13"/>
      <c r="M37" s="13"/>
    </row>
    <row r="38" spans="1:13" ht="28.5" x14ac:dyDescent="0.25">
      <c r="A38" s="15" t="s">
        <v>62</v>
      </c>
      <c r="B38" s="15" t="s">
        <v>63</v>
      </c>
      <c r="C38" s="15" t="s">
        <v>64</v>
      </c>
      <c r="D38" s="81"/>
      <c r="E38" s="32"/>
      <c r="F38" s="15" t="s">
        <v>54</v>
      </c>
      <c r="G38" s="16"/>
      <c r="H38" s="13"/>
      <c r="I38" s="13"/>
      <c r="J38" s="13"/>
      <c r="K38" s="13"/>
      <c r="L38" s="13"/>
      <c r="M38" s="13"/>
    </row>
    <row r="39" spans="1:13" x14ac:dyDescent="0.25">
      <c r="A39" s="96" t="s">
        <v>8</v>
      </c>
      <c r="B39" s="32" t="s">
        <v>15</v>
      </c>
      <c r="C39" s="33" t="s">
        <v>22</v>
      </c>
      <c r="D39" s="33"/>
      <c r="E39" s="33" t="s">
        <v>39</v>
      </c>
      <c r="F39" s="33">
        <v>3</v>
      </c>
      <c r="G39" s="19"/>
      <c r="H39" s="13"/>
      <c r="I39" s="13"/>
      <c r="J39" s="13"/>
      <c r="K39" s="13"/>
      <c r="L39" s="13"/>
      <c r="M39" s="13"/>
    </row>
    <row r="40" spans="1:13" x14ac:dyDescent="0.25">
      <c r="A40" s="96"/>
      <c r="B40" s="32" t="s">
        <v>15</v>
      </c>
      <c r="C40" s="33" t="s">
        <v>22</v>
      </c>
      <c r="D40" s="33"/>
      <c r="E40" s="33" t="s">
        <v>40</v>
      </c>
      <c r="F40" s="33">
        <v>3</v>
      </c>
      <c r="G40" s="19"/>
      <c r="H40" s="13"/>
      <c r="I40" s="13"/>
      <c r="J40" s="13"/>
      <c r="K40" s="13"/>
      <c r="L40" s="13"/>
      <c r="M40" s="13"/>
    </row>
    <row r="41" spans="1:13" x14ac:dyDescent="0.25">
      <c r="A41" s="96"/>
      <c r="B41" s="32" t="s">
        <v>15</v>
      </c>
      <c r="C41" s="33" t="s">
        <v>26</v>
      </c>
      <c r="D41" s="33"/>
      <c r="E41" s="33"/>
      <c r="F41" s="33">
        <v>3</v>
      </c>
      <c r="G41" s="19"/>
      <c r="H41" s="13"/>
      <c r="I41" s="13"/>
      <c r="J41" s="13"/>
      <c r="K41" s="13"/>
      <c r="L41" s="13"/>
      <c r="M41" s="13"/>
    </row>
    <row r="42" spans="1:13" x14ac:dyDescent="0.25">
      <c r="A42" s="96"/>
      <c r="B42" s="32" t="s">
        <v>15</v>
      </c>
      <c r="C42" s="58" t="s">
        <v>27</v>
      </c>
      <c r="D42" s="33"/>
      <c r="E42" s="33"/>
      <c r="F42" s="33">
        <v>1</v>
      </c>
      <c r="G42" s="19"/>
      <c r="H42" s="13"/>
      <c r="I42" s="13"/>
      <c r="J42" s="13"/>
      <c r="K42" s="13"/>
      <c r="L42" s="13"/>
      <c r="M42" s="13"/>
    </row>
    <row r="43" spans="1:13" x14ac:dyDescent="0.25">
      <c r="A43" s="82"/>
      <c r="B43" s="32"/>
      <c r="C43" s="33" t="s">
        <v>30</v>
      </c>
      <c r="D43" s="33"/>
      <c r="E43" s="33"/>
      <c r="F43" s="88">
        <v>3</v>
      </c>
      <c r="G43" s="19"/>
      <c r="H43" s="13"/>
      <c r="I43" s="13"/>
      <c r="J43" s="13"/>
      <c r="K43" s="13"/>
      <c r="L43" s="13"/>
      <c r="M43" s="13"/>
    </row>
    <row r="44" spans="1:13" x14ac:dyDescent="0.25">
      <c r="A44" s="104" t="s">
        <v>84</v>
      </c>
      <c r="B44" s="104"/>
      <c r="C44" s="104"/>
      <c r="D44" s="85"/>
      <c r="E44" s="28"/>
      <c r="F44" s="41">
        <f>AVERAGE(F39:F43)</f>
        <v>2.6</v>
      </c>
      <c r="G44" s="42"/>
      <c r="H44" s="13"/>
      <c r="I44" s="13"/>
      <c r="J44" s="13"/>
      <c r="K44" s="13"/>
      <c r="L44" s="13"/>
      <c r="M44" s="13"/>
    </row>
    <row r="45" spans="1:13" x14ac:dyDescent="0.25">
      <c r="A45" s="105" t="s">
        <v>85</v>
      </c>
      <c r="B45" s="106"/>
      <c r="C45" s="106"/>
      <c r="D45" s="106"/>
      <c r="E45" s="107"/>
      <c r="F45" s="12"/>
      <c r="G45" s="43"/>
      <c r="H45" s="13"/>
      <c r="I45" s="13"/>
      <c r="J45" s="13"/>
      <c r="K45" s="13"/>
      <c r="L45" s="13"/>
      <c r="M45" s="13"/>
    </row>
    <row r="46" spans="1:13" ht="28.5" x14ac:dyDescent="0.25">
      <c r="A46" s="15" t="s">
        <v>62</v>
      </c>
      <c r="B46" s="15" t="s">
        <v>63</v>
      </c>
      <c r="C46" s="15" t="s">
        <v>64</v>
      </c>
      <c r="D46" s="81"/>
      <c r="E46" s="32"/>
      <c r="F46" s="44" t="s">
        <v>54</v>
      </c>
      <c r="G46" s="45"/>
      <c r="H46" s="13"/>
      <c r="I46" s="13"/>
      <c r="J46" s="13"/>
      <c r="K46" s="13"/>
      <c r="L46" s="13"/>
      <c r="M46" s="13"/>
    </row>
    <row r="47" spans="1:13" x14ac:dyDescent="0.25">
      <c r="A47" s="96" t="s">
        <v>9</v>
      </c>
      <c r="B47" s="32" t="s">
        <v>15</v>
      </c>
      <c r="C47" s="32" t="s">
        <v>22</v>
      </c>
      <c r="D47" s="32"/>
      <c r="E47" s="32" t="s">
        <v>41</v>
      </c>
      <c r="F47" s="46">
        <v>3</v>
      </c>
      <c r="G47" s="47"/>
      <c r="H47" s="13"/>
      <c r="I47" s="13"/>
      <c r="J47" s="13"/>
      <c r="K47" s="13"/>
      <c r="L47" s="13"/>
      <c r="M47" s="13"/>
    </row>
    <row r="48" spans="1:13" x14ac:dyDescent="0.25">
      <c r="A48" s="96"/>
      <c r="B48" s="32" t="s">
        <v>15</v>
      </c>
      <c r="C48" s="32" t="s">
        <v>23</v>
      </c>
      <c r="D48" s="32"/>
      <c r="E48" s="32" t="s">
        <v>42</v>
      </c>
      <c r="F48" s="46">
        <v>3</v>
      </c>
      <c r="G48" s="47"/>
      <c r="H48" s="13"/>
      <c r="I48" s="13"/>
      <c r="J48" s="13"/>
      <c r="K48" s="13"/>
      <c r="L48" s="13"/>
      <c r="M48" s="13"/>
    </row>
    <row r="49" spans="1:13" x14ac:dyDescent="0.25">
      <c r="A49" s="96"/>
      <c r="B49" s="32" t="s">
        <v>15</v>
      </c>
      <c r="C49" s="32" t="s">
        <v>28</v>
      </c>
      <c r="D49" s="32"/>
      <c r="E49" s="32"/>
      <c r="F49" s="46">
        <v>3</v>
      </c>
      <c r="G49" s="47"/>
      <c r="H49" s="13"/>
      <c r="I49" s="13"/>
      <c r="J49" s="13"/>
      <c r="K49" s="13"/>
      <c r="L49" s="13"/>
      <c r="M49" s="13"/>
    </row>
    <row r="50" spans="1:13" x14ac:dyDescent="0.25">
      <c r="A50" s="96"/>
      <c r="B50" s="32"/>
      <c r="C50" s="32"/>
      <c r="D50" s="32"/>
      <c r="E50" s="32"/>
      <c r="F50" s="46"/>
      <c r="G50" s="47"/>
      <c r="H50" s="13"/>
      <c r="I50" s="13"/>
      <c r="J50" s="13"/>
      <c r="K50" s="13"/>
      <c r="L50" s="13"/>
      <c r="M50" s="13"/>
    </row>
    <row r="51" spans="1:13" x14ac:dyDescent="0.25">
      <c r="A51" s="96"/>
      <c r="B51" s="32"/>
      <c r="C51" s="32"/>
      <c r="D51" s="32"/>
      <c r="E51" s="32"/>
      <c r="F51" s="46"/>
      <c r="G51" s="47"/>
      <c r="H51" s="13"/>
      <c r="I51" s="13"/>
      <c r="J51" s="13"/>
      <c r="K51" s="13"/>
      <c r="L51" s="13"/>
      <c r="M51" s="13"/>
    </row>
    <row r="52" spans="1:13" x14ac:dyDescent="0.25">
      <c r="A52" s="96"/>
      <c r="B52" s="32"/>
      <c r="C52" s="32"/>
      <c r="D52" s="32"/>
      <c r="E52" s="32"/>
      <c r="F52" s="46"/>
      <c r="G52" s="47"/>
      <c r="H52" s="13"/>
      <c r="I52" s="13"/>
      <c r="J52" s="13"/>
      <c r="K52" s="13"/>
      <c r="L52" s="13"/>
      <c r="M52" s="13"/>
    </row>
    <row r="53" spans="1:13" x14ac:dyDescent="0.25">
      <c r="A53" s="96"/>
      <c r="B53" s="21"/>
      <c r="C53" s="21"/>
      <c r="D53" s="21"/>
      <c r="E53" s="21"/>
      <c r="F53" s="48"/>
      <c r="G53" s="47"/>
      <c r="H53" s="13"/>
      <c r="I53" s="13"/>
      <c r="J53" s="13"/>
      <c r="K53" s="13"/>
      <c r="L53" s="13"/>
      <c r="M53" s="13"/>
    </row>
    <row r="54" spans="1:13" x14ac:dyDescent="0.25">
      <c r="A54" s="99" t="s">
        <v>86</v>
      </c>
      <c r="B54" s="99"/>
      <c r="C54" s="99"/>
      <c r="D54" s="84"/>
      <c r="E54" s="49"/>
      <c r="F54" s="50">
        <f>AVERAGE(F47:F52)</f>
        <v>3</v>
      </c>
      <c r="G54" s="42"/>
      <c r="H54" s="13"/>
      <c r="I54" s="13"/>
      <c r="J54" s="13"/>
      <c r="K54" s="13"/>
      <c r="L54" s="13"/>
      <c r="M54" s="13"/>
    </row>
    <row r="55" spans="1:13" x14ac:dyDescent="0.25">
      <c r="A55" s="100"/>
      <c r="B55" s="100"/>
      <c r="C55" s="100"/>
      <c r="D55" s="100"/>
      <c r="E55" s="100"/>
      <c r="F55" s="51"/>
      <c r="G55" s="51"/>
      <c r="H55" s="13"/>
      <c r="I55" s="13"/>
      <c r="J55" s="13"/>
      <c r="K55" s="13"/>
      <c r="L55" s="13"/>
      <c r="M55" s="13"/>
    </row>
    <row r="56" spans="1:13" x14ac:dyDescent="0.25">
      <c r="A56" s="52"/>
      <c r="B56" s="52"/>
      <c r="C56" s="52"/>
      <c r="D56" s="52"/>
      <c r="E56" s="52"/>
      <c r="F56" s="52"/>
      <c r="G56" s="52"/>
      <c r="H56" s="13"/>
      <c r="I56" s="13"/>
      <c r="J56" s="13"/>
      <c r="K56" s="13"/>
      <c r="L56" s="13"/>
      <c r="M56" s="13"/>
    </row>
    <row r="57" spans="1:13" x14ac:dyDescent="0.25">
      <c r="A57" s="53"/>
      <c r="B57" s="54"/>
      <c r="C57" s="55"/>
      <c r="D57" s="55"/>
      <c r="E57" s="55"/>
      <c r="F57" s="55"/>
      <c r="G57" s="55"/>
      <c r="H57" s="13"/>
      <c r="I57" s="13"/>
      <c r="J57" s="13"/>
      <c r="K57" s="13"/>
      <c r="L57" s="13"/>
      <c r="M57" s="13"/>
    </row>
    <row r="58" spans="1:13" x14ac:dyDescent="0.25">
      <c r="A58" s="53"/>
      <c r="B58" s="55"/>
      <c r="C58" s="55"/>
      <c r="D58" s="55"/>
      <c r="E58" s="55"/>
      <c r="F58" s="55"/>
      <c r="G58" s="55"/>
      <c r="H58" s="13"/>
      <c r="I58" s="13"/>
      <c r="J58" s="13"/>
      <c r="K58" s="13"/>
      <c r="L58" s="13"/>
      <c r="M58" s="13"/>
    </row>
    <row r="59" spans="1:13" x14ac:dyDescent="0.25">
      <c r="A59" s="53"/>
      <c r="B59" s="55"/>
      <c r="C59" s="55"/>
      <c r="D59" s="55"/>
      <c r="E59" s="55"/>
      <c r="F59" s="55"/>
      <c r="G59" s="55"/>
      <c r="H59" s="13"/>
      <c r="I59" s="13"/>
      <c r="J59" s="13"/>
      <c r="K59" s="13"/>
      <c r="L59" s="13"/>
      <c r="M59" s="13"/>
    </row>
    <row r="60" spans="1:13" x14ac:dyDescent="0.25">
      <c r="A60" s="53"/>
      <c r="B60" s="55"/>
      <c r="C60" s="55"/>
      <c r="D60" s="55"/>
      <c r="E60" s="55"/>
      <c r="F60" s="55"/>
      <c r="G60" s="55"/>
      <c r="H60" s="13"/>
      <c r="I60" s="13"/>
      <c r="J60" s="13"/>
      <c r="K60" s="13"/>
      <c r="L60" s="13"/>
      <c r="M60" s="13"/>
    </row>
    <row r="61" spans="1:13" x14ac:dyDescent="0.25">
      <c r="A61" s="53"/>
      <c r="B61" s="55"/>
      <c r="C61" s="55"/>
      <c r="D61" s="55"/>
      <c r="E61" s="55"/>
      <c r="F61" s="55"/>
      <c r="G61" s="55"/>
      <c r="H61" s="13"/>
      <c r="I61" s="13"/>
      <c r="J61" s="13"/>
      <c r="K61" s="13"/>
      <c r="L61" s="13"/>
      <c r="M61" s="13"/>
    </row>
    <row r="62" spans="1:13" x14ac:dyDescent="0.25">
      <c r="A62" s="53"/>
      <c r="B62" s="55"/>
      <c r="C62" s="55"/>
      <c r="D62" s="55"/>
      <c r="E62" s="55"/>
      <c r="F62" s="55"/>
      <c r="G62" s="55"/>
      <c r="H62" s="13"/>
      <c r="I62" s="13"/>
      <c r="J62" s="13"/>
      <c r="K62" s="13"/>
      <c r="L62" s="13"/>
      <c r="M62" s="13"/>
    </row>
    <row r="63" spans="1:13" x14ac:dyDescent="0.25">
      <c r="A63" s="53"/>
      <c r="B63" s="55"/>
      <c r="C63" s="55"/>
      <c r="D63" s="55"/>
      <c r="E63" s="55"/>
      <c r="F63" s="55"/>
      <c r="G63" s="55"/>
      <c r="H63" s="13"/>
      <c r="I63" s="13"/>
      <c r="J63" s="13"/>
      <c r="K63" s="13"/>
      <c r="L63" s="13"/>
      <c r="M63" s="13"/>
    </row>
    <row r="64" spans="1:13" x14ac:dyDescent="0.25">
      <c r="A64" s="53"/>
      <c r="B64" s="53"/>
      <c r="C64" s="53"/>
      <c r="D64" s="53"/>
      <c r="E64" s="53"/>
      <c r="F64" s="53"/>
      <c r="G64" s="53"/>
      <c r="H64" s="13"/>
      <c r="I64" s="13"/>
      <c r="J64" s="13"/>
      <c r="K64" s="13"/>
      <c r="L64" s="13"/>
      <c r="M64" s="13"/>
    </row>
    <row r="65" spans="1:7" x14ac:dyDescent="0.25">
      <c r="A65" s="56"/>
      <c r="B65" s="56"/>
      <c r="C65" s="56"/>
      <c r="D65" s="56"/>
      <c r="E65" s="56"/>
      <c r="F65" s="56"/>
      <c r="G65" s="56"/>
    </row>
    <row r="66" spans="1:7" x14ac:dyDescent="0.25">
      <c r="A66" s="56"/>
      <c r="B66" s="56"/>
      <c r="C66" s="56"/>
      <c r="D66" s="56"/>
      <c r="E66" s="56"/>
      <c r="F66" s="56"/>
      <c r="G66" s="56"/>
    </row>
    <row r="67" spans="1:7" x14ac:dyDescent="0.25">
      <c r="A67" s="32"/>
      <c r="B67" s="32"/>
      <c r="C67" s="32"/>
      <c r="D67" s="32"/>
      <c r="E67" s="32"/>
      <c r="F67" s="32"/>
      <c r="G67" s="57"/>
    </row>
  </sheetData>
  <mergeCells count="33">
    <mergeCell ref="A1:E1"/>
    <mergeCell ref="J2:M2"/>
    <mergeCell ref="A3:A12"/>
    <mergeCell ref="J8:M8"/>
    <mergeCell ref="A13:C13"/>
    <mergeCell ref="I13:L13"/>
    <mergeCell ref="A14:E14"/>
    <mergeCell ref="J14:K14"/>
    <mergeCell ref="L14:L15"/>
    <mergeCell ref="J15:K15"/>
    <mergeCell ref="A29:A33"/>
    <mergeCell ref="J29:L29"/>
    <mergeCell ref="A16:A25"/>
    <mergeCell ref="J16:K16"/>
    <mergeCell ref="J17:K17"/>
    <mergeCell ref="J18:K18"/>
    <mergeCell ref="J19:K19"/>
    <mergeCell ref="J20:K20"/>
    <mergeCell ref="J21:K21"/>
    <mergeCell ref="J25:K25"/>
    <mergeCell ref="A26:C26"/>
    <mergeCell ref="J26:K26"/>
    <mergeCell ref="A27:E27"/>
    <mergeCell ref="J27:K27"/>
    <mergeCell ref="J28:K28"/>
    <mergeCell ref="A54:C54"/>
    <mergeCell ref="A55:E55"/>
    <mergeCell ref="A36:C36"/>
    <mergeCell ref="A37:E37"/>
    <mergeCell ref="A39:A42"/>
    <mergeCell ref="A44:C44"/>
    <mergeCell ref="A45:E45"/>
    <mergeCell ref="A47:A5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18" sqref="E18"/>
    </sheetView>
  </sheetViews>
  <sheetFormatPr defaultRowHeight="15" x14ac:dyDescent="0.25"/>
  <cols>
    <col min="1" max="1" width="21.85546875" customWidth="1"/>
    <col min="2" max="2" width="12" customWidth="1"/>
    <col min="3" max="3" width="16.5703125" customWidth="1"/>
  </cols>
  <sheetData>
    <row r="1" spans="1:15" ht="15.75" x14ac:dyDescent="0.25">
      <c r="A1" s="122" t="s">
        <v>92</v>
      </c>
      <c r="B1" s="123"/>
      <c r="C1" s="123"/>
      <c r="D1" s="71" t="s">
        <v>93</v>
      </c>
      <c r="E1" s="71" t="s">
        <v>94</v>
      </c>
      <c r="F1" s="71" t="s">
        <v>95</v>
      </c>
      <c r="G1" s="71" t="s">
        <v>96</v>
      </c>
      <c r="H1" s="71" t="s">
        <v>97</v>
      </c>
      <c r="I1" s="71" t="s">
        <v>98</v>
      </c>
      <c r="J1" s="71" t="s">
        <v>99</v>
      </c>
      <c r="K1" s="76" t="s">
        <v>167</v>
      </c>
      <c r="L1" s="76" t="s">
        <v>168</v>
      </c>
      <c r="M1" s="76" t="s">
        <v>169</v>
      </c>
      <c r="N1" s="76" t="s">
        <v>170</v>
      </c>
      <c r="O1" s="76" t="s">
        <v>171</v>
      </c>
    </row>
    <row r="2" spans="1:15" ht="15.75" x14ac:dyDescent="0.25">
      <c r="A2" s="124" t="s">
        <v>5</v>
      </c>
      <c r="B2" s="124"/>
      <c r="C2" s="125"/>
      <c r="D2" s="77">
        <v>2</v>
      </c>
      <c r="E2" s="77">
        <v>3</v>
      </c>
      <c r="F2" s="77">
        <v>3</v>
      </c>
      <c r="G2" s="77">
        <v>2</v>
      </c>
      <c r="H2" s="77">
        <v>3</v>
      </c>
      <c r="I2" s="77">
        <v>0</v>
      </c>
      <c r="J2" s="77">
        <v>0</v>
      </c>
      <c r="K2" s="78">
        <v>0</v>
      </c>
      <c r="L2" s="32">
        <v>1</v>
      </c>
      <c r="M2" s="32">
        <v>2</v>
      </c>
      <c r="N2" s="32">
        <v>1</v>
      </c>
      <c r="O2" s="32">
        <f>-D33</f>
        <v>0</v>
      </c>
    </row>
    <row r="3" spans="1:15" ht="15.75" x14ac:dyDescent="0.25">
      <c r="A3" s="124" t="s">
        <v>6</v>
      </c>
      <c r="B3" s="124"/>
      <c r="C3" s="125"/>
      <c r="D3" s="77">
        <v>3</v>
      </c>
      <c r="E3" s="77">
        <v>2</v>
      </c>
      <c r="F3" s="77">
        <v>3</v>
      </c>
      <c r="G3" s="77">
        <v>2</v>
      </c>
      <c r="H3" s="77">
        <v>2</v>
      </c>
      <c r="I3" s="77">
        <v>0</v>
      </c>
      <c r="J3" s="77">
        <v>0</v>
      </c>
      <c r="K3" s="77">
        <v>0</v>
      </c>
      <c r="L3" s="32">
        <v>3</v>
      </c>
      <c r="M3" s="32">
        <v>3</v>
      </c>
      <c r="N3" s="32">
        <v>3</v>
      </c>
      <c r="O3" s="32">
        <v>2</v>
      </c>
    </row>
    <row r="4" spans="1:15" ht="15.75" x14ac:dyDescent="0.25">
      <c r="A4" s="124" t="s">
        <v>7</v>
      </c>
      <c r="B4" s="124"/>
      <c r="C4" s="125"/>
      <c r="D4" s="77">
        <v>2</v>
      </c>
      <c r="E4" s="77">
        <v>3</v>
      </c>
      <c r="F4" s="77">
        <v>0</v>
      </c>
      <c r="G4" s="77">
        <v>3</v>
      </c>
      <c r="H4" s="77">
        <v>3</v>
      </c>
      <c r="I4" s="77">
        <v>0</v>
      </c>
      <c r="J4" s="77">
        <v>0</v>
      </c>
      <c r="K4" s="32">
        <v>3</v>
      </c>
      <c r="L4" s="78">
        <v>2</v>
      </c>
      <c r="M4" s="78">
        <v>3</v>
      </c>
      <c r="N4" s="78">
        <v>2</v>
      </c>
      <c r="O4" s="32">
        <v>2</v>
      </c>
    </row>
    <row r="5" spans="1:15" ht="15.75" x14ac:dyDescent="0.25">
      <c r="A5" s="124" t="s">
        <v>8</v>
      </c>
      <c r="B5" s="124"/>
      <c r="C5" s="125"/>
      <c r="D5" s="77">
        <v>2</v>
      </c>
      <c r="E5" s="77">
        <v>2</v>
      </c>
      <c r="F5" s="77">
        <v>0</v>
      </c>
      <c r="G5" s="77">
        <v>2</v>
      </c>
      <c r="H5" s="77">
        <v>3</v>
      </c>
      <c r="I5" s="77">
        <v>2</v>
      </c>
      <c r="J5" s="77" t="s">
        <v>172</v>
      </c>
      <c r="K5" s="78">
        <v>3</v>
      </c>
      <c r="L5" s="78">
        <v>2</v>
      </c>
      <c r="M5" s="78">
        <v>2</v>
      </c>
      <c r="N5" s="78">
        <v>2</v>
      </c>
      <c r="O5" s="78">
        <v>0</v>
      </c>
    </row>
    <row r="6" spans="1:15" ht="15.75" x14ac:dyDescent="0.25">
      <c r="A6" s="125" t="s">
        <v>9</v>
      </c>
      <c r="B6" s="126"/>
      <c r="C6" s="126"/>
      <c r="D6" s="77">
        <v>0</v>
      </c>
      <c r="E6" s="77">
        <v>0</v>
      </c>
      <c r="F6" s="77">
        <v>3</v>
      </c>
      <c r="G6" s="77">
        <v>1</v>
      </c>
      <c r="H6" s="77">
        <v>1</v>
      </c>
      <c r="I6" s="77">
        <v>0</v>
      </c>
      <c r="J6" s="77">
        <v>0</v>
      </c>
      <c r="K6" s="78">
        <v>0</v>
      </c>
      <c r="L6" s="78">
        <v>0</v>
      </c>
      <c r="M6" s="78">
        <v>0</v>
      </c>
      <c r="N6" s="78">
        <v>0</v>
      </c>
      <c r="O6" s="78">
        <v>0</v>
      </c>
    </row>
    <row r="7" spans="1:15" ht="15.75" x14ac:dyDescent="0.25">
      <c r="A7" s="120" t="s">
        <v>100</v>
      </c>
      <c r="B7" s="120"/>
      <c r="C7" s="120"/>
      <c r="D7" s="77">
        <f>AVERAGE(D2:D6)</f>
        <v>1.8</v>
      </c>
      <c r="E7" s="77">
        <f t="shared" ref="E7:O7" si="0">AVERAGE(E2:E6)</f>
        <v>2</v>
      </c>
      <c r="F7" s="77">
        <f t="shared" si="0"/>
        <v>1.8</v>
      </c>
      <c r="G7" s="77">
        <f t="shared" si="0"/>
        <v>2</v>
      </c>
      <c r="H7" s="77">
        <f t="shared" si="0"/>
        <v>2.4</v>
      </c>
      <c r="I7" s="77">
        <f t="shared" si="0"/>
        <v>0.4</v>
      </c>
      <c r="J7" s="77">
        <f t="shared" si="0"/>
        <v>0</v>
      </c>
      <c r="K7" s="77">
        <f t="shared" si="0"/>
        <v>1.2</v>
      </c>
      <c r="L7" s="77">
        <f t="shared" si="0"/>
        <v>1.6</v>
      </c>
      <c r="M7" s="77">
        <f t="shared" si="0"/>
        <v>2</v>
      </c>
      <c r="N7" s="77">
        <f t="shared" si="0"/>
        <v>1.6</v>
      </c>
      <c r="O7" s="77">
        <f t="shared" si="0"/>
        <v>0.8</v>
      </c>
    </row>
    <row r="8" spans="1:15" ht="15.75" x14ac:dyDescent="0.25">
      <c r="A8" s="61"/>
      <c r="B8" s="60"/>
      <c r="C8" s="60"/>
      <c r="D8" s="60"/>
      <c r="E8" s="60"/>
      <c r="F8" s="60"/>
    </row>
    <row r="9" spans="1:15" x14ac:dyDescent="0.25">
      <c r="A9" s="13" t="s">
        <v>101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x14ac:dyDescent="0.25">
      <c r="A10" s="121" t="s">
        <v>102</v>
      </c>
      <c r="B10" s="34" t="s">
        <v>103</v>
      </c>
      <c r="C10" s="34" t="s">
        <v>104</v>
      </c>
      <c r="D10" s="34" t="s">
        <v>105</v>
      </c>
      <c r="E10" s="34" t="s">
        <v>106</v>
      </c>
      <c r="F10" s="34" t="s">
        <v>107</v>
      </c>
      <c r="G10" s="34" t="s">
        <v>108</v>
      </c>
      <c r="H10" s="62" t="s">
        <v>109</v>
      </c>
      <c r="I10" s="69" t="s">
        <v>173</v>
      </c>
      <c r="J10" s="69" t="s">
        <v>174</v>
      </c>
      <c r="K10" s="69" t="s">
        <v>175</v>
      </c>
      <c r="L10" s="69" t="s">
        <v>176</v>
      </c>
      <c r="M10" s="69" t="s">
        <v>176</v>
      </c>
      <c r="N10" s="39"/>
      <c r="O10" s="39"/>
    </row>
    <row r="11" spans="1:15" x14ac:dyDescent="0.25">
      <c r="A11" s="121"/>
      <c r="B11" s="63">
        <f>(((D7/3)*2.4))</f>
        <v>1.44</v>
      </c>
      <c r="C11" s="63">
        <f t="shared" ref="C11:M11" si="1">(((E7/3)*2.4))</f>
        <v>1.5999999999999999</v>
      </c>
      <c r="D11" s="63">
        <f t="shared" si="1"/>
        <v>1.44</v>
      </c>
      <c r="E11" s="63">
        <f t="shared" si="1"/>
        <v>1.5999999999999999</v>
      </c>
      <c r="F11" s="63">
        <f t="shared" si="1"/>
        <v>1.9199999999999997</v>
      </c>
      <c r="G11" s="63">
        <f t="shared" si="1"/>
        <v>0.32</v>
      </c>
      <c r="H11" s="63">
        <f t="shared" si="1"/>
        <v>0</v>
      </c>
      <c r="I11" s="63">
        <f t="shared" si="1"/>
        <v>0.95999999999999985</v>
      </c>
      <c r="J11" s="63">
        <f t="shared" si="1"/>
        <v>1.28</v>
      </c>
      <c r="K11" s="63">
        <f t="shared" si="1"/>
        <v>1.5999999999999999</v>
      </c>
      <c r="L11" s="63">
        <f t="shared" si="1"/>
        <v>1.28</v>
      </c>
      <c r="M11" s="63">
        <f t="shared" si="1"/>
        <v>0.64</v>
      </c>
      <c r="N11" s="19"/>
      <c r="O11" s="19"/>
    </row>
    <row r="12" spans="1:15" x14ac:dyDescent="0.25">
      <c r="A12" s="64"/>
      <c r="B12" s="64"/>
      <c r="C12" s="64"/>
      <c r="D12" s="64"/>
      <c r="E12" s="64"/>
      <c r="F12" s="64"/>
    </row>
    <row r="13" spans="1:15" x14ac:dyDescent="0.25">
      <c r="A13" s="64"/>
      <c r="B13" s="64"/>
      <c r="C13" s="64"/>
      <c r="D13" s="64"/>
      <c r="E13" s="64"/>
      <c r="F13" s="64"/>
    </row>
    <row r="14" spans="1:15" x14ac:dyDescent="0.25">
      <c r="A14" s="64"/>
      <c r="B14" s="64"/>
      <c r="C14" s="64"/>
      <c r="D14" s="64"/>
      <c r="E14" s="64"/>
      <c r="F14" s="64"/>
    </row>
    <row r="15" spans="1:15" x14ac:dyDescent="0.25">
      <c r="A15" s="64"/>
      <c r="B15" s="64"/>
      <c r="C15" s="64"/>
      <c r="D15" s="64"/>
      <c r="E15" s="64"/>
      <c r="F15" s="64"/>
    </row>
  </sheetData>
  <mergeCells count="8">
    <mergeCell ref="A7:C7"/>
    <mergeCell ref="A10:A1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0"/>
  <sheetViews>
    <sheetView topLeftCell="A38" workbookViewId="0">
      <selection activeCell="H60" sqref="H60"/>
    </sheetView>
  </sheetViews>
  <sheetFormatPr defaultRowHeight="15" x14ac:dyDescent="0.25"/>
  <cols>
    <col min="1" max="1" width="4.5703125" bestFit="1" customWidth="1"/>
    <col min="2" max="2" width="14.42578125" customWidth="1"/>
    <col min="3" max="3" width="23.28515625" customWidth="1"/>
    <col min="4" max="4" width="19" customWidth="1"/>
    <col min="5" max="6" width="19.7109375" customWidth="1"/>
    <col min="7" max="7" width="20.85546875" customWidth="1"/>
    <col min="8" max="8" width="22.42578125" customWidth="1"/>
  </cols>
  <sheetData>
    <row r="2" spans="1:8" x14ac:dyDescent="0.25"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</row>
    <row r="3" spans="1:8" ht="123" customHeight="1" x14ac:dyDescent="0.25">
      <c r="A3" s="65" t="s">
        <v>110</v>
      </c>
      <c r="B3" s="66" t="s">
        <v>111</v>
      </c>
      <c r="C3" s="65" t="s">
        <v>112</v>
      </c>
      <c r="D3" s="72" t="s">
        <v>87</v>
      </c>
      <c r="E3" s="72" t="s">
        <v>88</v>
      </c>
      <c r="F3" s="72" t="s">
        <v>89</v>
      </c>
      <c r="G3" s="72" t="s">
        <v>90</v>
      </c>
      <c r="H3" s="72" t="s">
        <v>91</v>
      </c>
    </row>
    <row r="4" spans="1:8" x14ac:dyDescent="0.25">
      <c r="A4" s="67">
        <v>1</v>
      </c>
      <c r="B4" s="73">
        <v>12000069</v>
      </c>
      <c r="C4" s="74" t="s">
        <v>113</v>
      </c>
      <c r="D4" s="73">
        <v>3</v>
      </c>
      <c r="E4" s="73">
        <v>3</v>
      </c>
      <c r="F4" s="73">
        <v>3</v>
      </c>
      <c r="G4" s="73">
        <v>3</v>
      </c>
      <c r="H4" s="73">
        <v>3</v>
      </c>
    </row>
    <row r="5" spans="1:8" x14ac:dyDescent="0.25">
      <c r="A5" s="67">
        <v>2</v>
      </c>
      <c r="B5" s="73">
        <v>12000841</v>
      </c>
      <c r="C5" s="74" t="s">
        <v>114</v>
      </c>
      <c r="D5" s="73">
        <v>3</v>
      </c>
      <c r="E5" s="73">
        <v>2</v>
      </c>
      <c r="F5" s="73">
        <v>3</v>
      </c>
      <c r="G5" s="73">
        <v>3</v>
      </c>
      <c r="H5" s="73">
        <v>2</v>
      </c>
    </row>
    <row r="6" spans="1:8" x14ac:dyDescent="0.25">
      <c r="A6" s="67">
        <v>3</v>
      </c>
      <c r="B6" s="73">
        <v>12000406</v>
      </c>
      <c r="C6" s="74" t="s">
        <v>115</v>
      </c>
      <c r="D6" s="73">
        <v>3</v>
      </c>
      <c r="E6" s="73">
        <v>3</v>
      </c>
      <c r="F6" s="73">
        <v>3</v>
      </c>
      <c r="G6" s="73">
        <v>3</v>
      </c>
      <c r="H6" s="73">
        <v>3</v>
      </c>
    </row>
    <row r="7" spans="1:8" x14ac:dyDescent="0.25">
      <c r="A7" s="67">
        <v>4</v>
      </c>
      <c r="B7" s="73">
        <v>12000388</v>
      </c>
      <c r="C7" s="74" t="s">
        <v>116</v>
      </c>
      <c r="D7" s="73">
        <v>3</v>
      </c>
      <c r="E7" s="73">
        <v>3</v>
      </c>
      <c r="F7" s="73">
        <v>3</v>
      </c>
      <c r="G7" s="73">
        <v>3</v>
      </c>
      <c r="H7" s="73">
        <v>3</v>
      </c>
    </row>
    <row r="8" spans="1:8" x14ac:dyDescent="0.25">
      <c r="A8" s="67">
        <v>5</v>
      </c>
      <c r="B8" s="73">
        <v>12000164</v>
      </c>
      <c r="C8" s="74" t="s">
        <v>117</v>
      </c>
      <c r="D8" s="73">
        <v>3</v>
      </c>
      <c r="E8" s="73">
        <v>2</v>
      </c>
      <c r="F8" s="73">
        <v>3</v>
      </c>
      <c r="G8" s="73">
        <v>2</v>
      </c>
      <c r="H8" s="73">
        <v>3</v>
      </c>
    </row>
    <row r="9" spans="1:8" x14ac:dyDescent="0.25">
      <c r="A9" s="67">
        <v>6</v>
      </c>
      <c r="B9" s="73">
        <v>12000199</v>
      </c>
      <c r="C9" s="74" t="s">
        <v>118</v>
      </c>
      <c r="D9" s="73">
        <v>3</v>
      </c>
      <c r="E9" s="73">
        <v>3</v>
      </c>
      <c r="F9" s="73">
        <v>3</v>
      </c>
      <c r="G9" s="73">
        <v>3</v>
      </c>
      <c r="H9" s="73">
        <v>3</v>
      </c>
    </row>
    <row r="10" spans="1:8" x14ac:dyDescent="0.25">
      <c r="A10" s="67">
        <v>7</v>
      </c>
      <c r="B10" s="73">
        <v>12000430</v>
      </c>
      <c r="C10" s="74" t="s">
        <v>119</v>
      </c>
      <c r="D10" s="73">
        <v>3</v>
      </c>
      <c r="E10" s="73">
        <v>2</v>
      </c>
      <c r="F10" s="73">
        <v>2</v>
      </c>
      <c r="G10" s="73">
        <v>3</v>
      </c>
      <c r="H10" s="73">
        <v>3</v>
      </c>
    </row>
    <row r="11" spans="1:8" x14ac:dyDescent="0.25">
      <c r="A11" s="67">
        <v>8</v>
      </c>
      <c r="B11" s="73">
        <v>12000289</v>
      </c>
      <c r="C11" s="74" t="s">
        <v>120</v>
      </c>
      <c r="D11" s="73">
        <v>3</v>
      </c>
      <c r="E11" s="73">
        <v>3</v>
      </c>
      <c r="F11" s="73">
        <v>3</v>
      </c>
      <c r="G11" s="73">
        <v>3</v>
      </c>
      <c r="H11" s="73">
        <v>3</v>
      </c>
    </row>
    <row r="12" spans="1:8" x14ac:dyDescent="0.25">
      <c r="A12" s="67">
        <v>9</v>
      </c>
      <c r="B12" s="73">
        <v>12000390</v>
      </c>
      <c r="C12" s="74" t="s">
        <v>121</v>
      </c>
      <c r="D12" s="73">
        <v>2</v>
      </c>
      <c r="E12" s="73">
        <v>2</v>
      </c>
      <c r="F12" s="73">
        <v>2</v>
      </c>
      <c r="G12" s="73">
        <v>2</v>
      </c>
      <c r="H12" s="73">
        <v>2</v>
      </c>
    </row>
    <row r="13" spans="1:8" x14ac:dyDescent="0.25">
      <c r="A13" s="67">
        <v>10</v>
      </c>
      <c r="B13" s="73">
        <v>12000191</v>
      </c>
      <c r="C13" s="74" t="s">
        <v>122</v>
      </c>
      <c r="D13" s="73">
        <v>3</v>
      </c>
      <c r="E13" s="73">
        <v>2</v>
      </c>
      <c r="F13" s="73">
        <v>3</v>
      </c>
      <c r="G13" s="73">
        <v>3</v>
      </c>
      <c r="H13" s="73">
        <v>3</v>
      </c>
    </row>
    <row r="14" spans="1:8" x14ac:dyDescent="0.25">
      <c r="A14" s="67">
        <v>11</v>
      </c>
      <c r="B14" s="75" t="s">
        <v>50</v>
      </c>
      <c r="C14" s="74" t="s">
        <v>123</v>
      </c>
      <c r="D14" s="73">
        <v>2</v>
      </c>
      <c r="E14" s="73">
        <v>2</v>
      </c>
      <c r="F14" s="73">
        <v>2</v>
      </c>
      <c r="G14" s="73">
        <v>2</v>
      </c>
      <c r="H14" s="73">
        <v>2</v>
      </c>
    </row>
    <row r="15" spans="1:8" x14ac:dyDescent="0.25">
      <c r="A15" s="67">
        <v>12</v>
      </c>
      <c r="B15" s="73">
        <v>12000108</v>
      </c>
      <c r="C15" s="74" t="s">
        <v>124</v>
      </c>
      <c r="D15" s="73">
        <v>3</v>
      </c>
      <c r="E15" s="73">
        <v>3</v>
      </c>
      <c r="F15" s="73">
        <v>3</v>
      </c>
      <c r="G15" s="73">
        <v>3</v>
      </c>
      <c r="H15" s="73">
        <v>3</v>
      </c>
    </row>
    <row r="16" spans="1:8" x14ac:dyDescent="0.25">
      <c r="A16" s="67">
        <v>13</v>
      </c>
      <c r="B16" s="73">
        <v>12000177</v>
      </c>
      <c r="C16" s="74" t="s">
        <v>125</v>
      </c>
      <c r="D16" s="73">
        <v>3</v>
      </c>
      <c r="E16" s="73">
        <v>3</v>
      </c>
      <c r="F16" s="73">
        <v>3</v>
      </c>
      <c r="G16" s="73">
        <v>3</v>
      </c>
      <c r="H16" s="73">
        <v>3</v>
      </c>
    </row>
    <row r="17" spans="1:8" x14ac:dyDescent="0.25">
      <c r="A17" s="67">
        <v>14</v>
      </c>
      <c r="B17" s="73">
        <v>12001010</v>
      </c>
      <c r="C17" s="74" t="s">
        <v>126</v>
      </c>
      <c r="D17" s="73">
        <v>3</v>
      </c>
      <c r="E17" s="73">
        <v>2</v>
      </c>
      <c r="F17" s="73">
        <v>3</v>
      </c>
      <c r="G17" s="73">
        <v>2</v>
      </c>
      <c r="H17" s="73">
        <v>3</v>
      </c>
    </row>
    <row r="18" spans="1:8" x14ac:dyDescent="0.25">
      <c r="A18" s="67">
        <v>15</v>
      </c>
      <c r="B18" s="73">
        <v>1200446</v>
      </c>
      <c r="C18" s="74" t="s">
        <v>127</v>
      </c>
      <c r="D18" s="73">
        <v>2</v>
      </c>
      <c r="E18" s="73">
        <v>2</v>
      </c>
      <c r="F18" s="73">
        <v>2</v>
      </c>
      <c r="G18" s="73">
        <v>2</v>
      </c>
      <c r="H18" s="73">
        <v>2</v>
      </c>
    </row>
    <row r="19" spans="1:8" x14ac:dyDescent="0.25">
      <c r="A19" s="67">
        <v>16</v>
      </c>
      <c r="B19" s="73">
        <v>12000009</v>
      </c>
      <c r="C19" s="74" t="s">
        <v>128</v>
      </c>
      <c r="D19" s="73">
        <v>2</v>
      </c>
      <c r="E19" s="73">
        <v>3</v>
      </c>
      <c r="F19" s="73">
        <v>2</v>
      </c>
      <c r="G19" s="73">
        <v>3</v>
      </c>
      <c r="H19" s="73">
        <v>3</v>
      </c>
    </row>
    <row r="20" spans="1:8" x14ac:dyDescent="0.25">
      <c r="A20" s="67">
        <v>17</v>
      </c>
      <c r="B20" s="73">
        <v>12000226</v>
      </c>
      <c r="C20" s="74" t="s">
        <v>129</v>
      </c>
      <c r="D20" s="73">
        <v>3</v>
      </c>
      <c r="E20" s="73">
        <v>3</v>
      </c>
      <c r="F20" s="73">
        <v>3</v>
      </c>
      <c r="G20" s="73">
        <v>3</v>
      </c>
      <c r="H20" s="73">
        <v>3</v>
      </c>
    </row>
    <row r="21" spans="1:8" x14ac:dyDescent="0.25">
      <c r="A21" s="67">
        <v>18</v>
      </c>
      <c r="B21" s="73">
        <v>12000338</v>
      </c>
      <c r="C21" s="74" t="s">
        <v>130</v>
      </c>
      <c r="D21" s="73">
        <v>3</v>
      </c>
      <c r="E21" s="73">
        <v>2</v>
      </c>
      <c r="F21" s="73">
        <v>3</v>
      </c>
      <c r="G21" s="73">
        <v>2</v>
      </c>
      <c r="H21" s="73">
        <v>3</v>
      </c>
    </row>
    <row r="22" spans="1:8" x14ac:dyDescent="0.25">
      <c r="A22" s="67">
        <v>19</v>
      </c>
      <c r="B22" s="73">
        <v>12000436</v>
      </c>
      <c r="C22" s="74" t="s">
        <v>131</v>
      </c>
      <c r="D22" s="73">
        <v>2</v>
      </c>
      <c r="E22" s="73">
        <v>2</v>
      </c>
      <c r="F22" s="73">
        <v>2</v>
      </c>
      <c r="G22" s="73">
        <v>2</v>
      </c>
      <c r="H22" s="73">
        <v>2</v>
      </c>
    </row>
    <row r="23" spans="1:8" x14ac:dyDescent="0.25">
      <c r="A23" s="67">
        <v>20</v>
      </c>
      <c r="B23" s="73">
        <v>12000150</v>
      </c>
      <c r="C23" s="74" t="s">
        <v>132</v>
      </c>
      <c r="D23" s="73">
        <v>3</v>
      </c>
      <c r="E23" s="73">
        <v>2</v>
      </c>
      <c r="F23" s="73">
        <v>2</v>
      </c>
      <c r="G23" s="73">
        <v>2</v>
      </c>
      <c r="H23" s="73">
        <v>3</v>
      </c>
    </row>
    <row r="24" spans="1:8" x14ac:dyDescent="0.25">
      <c r="A24" s="67">
        <v>21</v>
      </c>
      <c r="B24" s="73">
        <v>12000460</v>
      </c>
      <c r="C24" s="74" t="s">
        <v>133</v>
      </c>
      <c r="D24" s="73">
        <v>3</v>
      </c>
      <c r="E24" s="73">
        <v>2</v>
      </c>
      <c r="F24" s="73">
        <v>3</v>
      </c>
      <c r="G24" s="73">
        <v>3</v>
      </c>
      <c r="H24" s="73">
        <v>2</v>
      </c>
    </row>
    <row r="25" spans="1:8" x14ac:dyDescent="0.25">
      <c r="A25" s="67">
        <v>22</v>
      </c>
      <c r="B25" s="73">
        <v>12000071</v>
      </c>
      <c r="C25" s="74" t="s">
        <v>134</v>
      </c>
      <c r="D25" s="73">
        <v>3</v>
      </c>
      <c r="E25" s="73">
        <v>3</v>
      </c>
      <c r="F25" s="73">
        <v>2</v>
      </c>
      <c r="G25" s="73">
        <v>2</v>
      </c>
      <c r="H25" s="73">
        <v>3</v>
      </c>
    </row>
    <row r="26" spans="1:8" x14ac:dyDescent="0.25">
      <c r="A26" s="67">
        <v>23</v>
      </c>
      <c r="B26" s="73">
        <v>12000113</v>
      </c>
      <c r="C26" s="74" t="s">
        <v>135</v>
      </c>
      <c r="D26" s="73">
        <v>3</v>
      </c>
      <c r="E26" s="73">
        <v>2</v>
      </c>
      <c r="F26" s="73">
        <v>3</v>
      </c>
      <c r="G26" s="73">
        <v>3</v>
      </c>
      <c r="H26" s="73">
        <v>3</v>
      </c>
    </row>
    <row r="27" spans="1:8" x14ac:dyDescent="0.25">
      <c r="A27" s="67">
        <v>24</v>
      </c>
      <c r="B27" s="73">
        <v>12000852</v>
      </c>
      <c r="C27" s="74" t="s">
        <v>136</v>
      </c>
      <c r="D27" s="73">
        <v>2</v>
      </c>
      <c r="E27" s="73">
        <v>2</v>
      </c>
      <c r="F27" s="73">
        <v>2</v>
      </c>
      <c r="G27" s="73">
        <v>1</v>
      </c>
      <c r="H27" s="73">
        <v>1</v>
      </c>
    </row>
    <row r="28" spans="1:8" ht="26.25" x14ac:dyDescent="0.25">
      <c r="A28" s="67">
        <v>25</v>
      </c>
      <c r="B28" s="73">
        <v>12000434</v>
      </c>
      <c r="C28" s="74" t="s">
        <v>137</v>
      </c>
      <c r="D28" s="73">
        <v>3</v>
      </c>
      <c r="E28" s="73">
        <v>2</v>
      </c>
      <c r="F28" s="73">
        <v>3</v>
      </c>
      <c r="G28" s="73">
        <v>2</v>
      </c>
      <c r="H28" s="73">
        <v>3</v>
      </c>
    </row>
    <row r="29" spans="1:8" x14ac:dyDescent="0.25">
      <c r="A29" s="67">
        <v>26</v>
      </c>
      <c r="B29" s="73">
        <v>12000416</v>
      </c>
      <c r="C29" s="74" t="s">
        <v>138</v>
      </c>
      <c r="D29" s="73">
        <v>3</v>
      </c>
      <c r="E29" s="73">
        <v>3</v>
      </c>
      <c r="F29" s="73">
        <v>2</v>
      </c>
      <c r="G29" s="73">
        <v>2</v>
      </c>
      <c r="H29" s="73">
        <v>3</v>
      </c>
    </row>
    <row r="30" spans="1:8" x14ac:dyDescent="0.25">
      <c r="A30" s="67">
        <v>27</v>
      </c>
      <c r="B30" s="73">
        <v>12000307</v>
      </c>
      <c r="C30" s="74" t="s">
        <v>139</v>
      </c>
      <c r="D30" s="73">
        <v>2</v>
      </c>
      <c r="E30" s="73">
        <v>2</v>
      </c>
      <c r="F30" s="73">
        <v>2</v>
      </c>
      <c r="G30" s="73">
        <v>2</v>
      </c>
      <c r="H30" s="73">
        <v>2</v>
      </c>
    </row>
    <row r="31" spans="1:8" x14ac:dyDescent="0.25">
      <c r="A31" s="67">
        <v>28</v>
      </c>
      <c r="B31" s="73">
        <v>12001445</v>
      </c>
      <c r="C31" s="74" t="s">
        <v>140</v>
      </c>
      <c r="D31" s="73">
        <v>3</v>
      </c>
      <c r="E31" s="73">
        <v>2</v>
      </c>
      <c r="F31" s="73">
        <v>2</v>
      </c>
      <c r="G31" s="73">
        <v>2</v>
      </c>
      <c r="H31" s="73">
        <v>2</v>
      </c>
    </row>
    <row r="32" spans="1:8" x14ac:dyDescent="0.25">
      <c r="A32" s="67">
        <v>29</v>
      </c>
      <c r="B32" s="73">
        <v>12000046</v>
      </c>
      <c r="C32" s="74" t="s">
        <v>141</v>
      </c>
      <c r="D32" s="73">
        <v>3</v>
      </c>
      <c r="E32" s="73">
        <v>3</v>
      </c>
      <c r="F32" s="73">
        <v>3</v>
      </c>
      <c r="G32" s="73">
        <v>2</v>
      </c>
      <c r="H32" s="73">
        <v>2</v>
      </c>
    </row>
    <row r="33" spans="1:8" x14ac:dyDescent="0.25">
      <c r="A33" s="67">
        <v>30</v>
      </c>
      <c r="B33" s="73">
        <v>12000225</v>
      </c>
      <c r="C33" s="74" t="s">
        <v>142</v>
      </c>
      <c r="D33" s="73">
        <v>2</v>
      </c>
      <c r="E33" s="73">
        <v>2</v>
      </c>
      <c r="F33" s="73">
        <v>1</v>
      </c>
      <c r="G33" s="73">
        <v>1</v>
      </c>
      <c r="H33" s="73">
        <v>2</v>
      </c>
    </row>
    <row r="34" spans="1:8" x14ac:dyDescent="0.25">
      <c r="A34" s="67">
        <v>31</v>
      </c>
      <c r="B34" s="73">
        <v>12000076</v>
      </c>
      <c r="C34" s="74" t="s">
        <v>143</v>
      </c>
      <c r="D34" s="73">
        <v>3</v>
      </c>
      <c r="E34" s="73">
        <v>3</v>
      </c>
      <c r="F34" s="73">
        <v>3</v>
      </c>
      <c r="G34" s="73">
        <v>3</v>
      </c>
      <c r="H34" s="73">
        <v>3</v>
      </c>
    </row>
    <row r="35" spans="1:8" x14ac:dyDescent="0.25">
      <c r="A35" s="67">
        <v>32</v>
      </c>
      <c r="B35" s="73">
        <v>12000107</v>
      </c>
      <c r="C35" s="74" t="s">
        <v>144</v>
      </c>
      <c r="D35" s="73">
        <v>3</v>
      </c>
      <c r="E35" s="73">
        <v>3</v>
      </c>
      <c r="F35" s="73">
        <v>2</v>
      </c>
      <c r="G35" s="73">
        <v>3</v>
      </c>
      <c r="H35" s="73">
        <v>2</v>
      </c>
    </row>
    <row r="36" spans="1:8" x14ac:dyDescent="0.25">
      <c r="A36" s="67">
        <v>33</v>
      </c>
      <c r="B36" s="73">
        <v>12000431</v>
      </c>
      <c r="C36" s="74" t="s">
        <v>145</v>
      </c>
      <c r="D36" s="73">
        <v>3</v>
      </c>
      <c r="E36" s="73">
        <v>3</v>
      </c>
      <c r="F36" s="73">
        <v>3</v>
      </c>
      <c r="G36" s="73">
        <v>3</v>
      </c>
      <c r="H36" s="73">
        <v>3</v>
      </c>
    </row>
    <row r="37" spans="1:8" x14ac:dyDescent="0.25">
      <c r="A37" s="67">
        <v>34</v>
      </c>
      <c r="B37" s="73">
        <v>12000173</v>
      </c>
      <c r="C37" s="74" t="s">
        <v>146</v>
      </c>
      <c r="D37" s="73">
        <v>3</v>
      </c>
      <c r="E37" s="73">
        <v>3</v>
      </c>
      <c r="F37" s="73">
        <v>3</v>
      </c>
      <c r="G37" s="73">
        <v>3</v>
      </c>
      <c r="H37" s="73">
        <v>3</v>
      </c>
    </row>
    <row r="38" spans="1:8" x14ac:dyDescent="0.25">
      <c r="A38" s="67">
        <v>35</v>
      </c>
      <c r="B38" s="73">
        <v>12000335</v>
      </c>
      <c r="C38" s="74" t="s">
        <v>147</v>
      </c>
      <c r="D38" s="73">
        <v>2</v>
      </c>
      <c r="E38" s="73">
        <v>2</v>
      </c>
      <c r="F38" s="73">
        <v>2</v>
      </c>
      <c r="G38" s="73">
        <v>2</v>
      </c>
      <c r="H38" s="73">
        <v>2</v>
      </c>
    </row>
    <row r="39" spans="1:8" x14ac:dyDescent="0.25">
      <c r="A39" s="67">
        <v>36</v>
      </c>
      <c r="B39" s="73">
        <v>12000412</v>
      </c>
      <c r="C39" s="74" t="s">
        <v>148</v>
      </c>
      <c r="D39" s="73">
        <v>3</v>
      </c>
      <c r="E39" s="73">
        <v>3</v>
      </c>
      <c r="F39" s="73">
        <v>3</v>
      </c>
      <c r="G39" s="73">
        <v>3</v>
      </c>
      <c r="H39" s="73">
        <v>3</v>
      </c>
    </row>
    <row r="40" spans="1:8" x14ac:dyDescent="0.25">
      <c r="A40" s="67">
        <v>37</v>
      </c>
      <c r="B40" s="73">
        <v>12000337</v>
      </c>
      <c r="C40" s="74" t="s">
        <v>149</v>
      </c>
      <c r="D40" s="73">
        <v>3</v>
      </c>
      <c r="E40" s="73">
        <v>3</v>
      </c>
      <c r="F40" s="73">
        <v>3</v>
      </c>
      <c r="G40" s="73">
        <v>3</v>
      </c>
      <c r="H40" s="73">
        <v>3</v>
      </c>
    </row>
    <row r="41" spans="1:8" x14ac:dyDescent="0.25">
      <c r="A41" s="67">
        <v>38</v>
      </c>
      <c r="B41" s="73">
        <v>12001355</v>
      </c>
      <c r="C41" s="74" t="s">
        <v>150</v>
      </c>
      <c r="D41" s="73">
        <v>1</v>
      </c>
      <c r="E41" s="73">
        <v>1</v>
      </c>
      <c r="F41" s="73">
        <v>1</v>
      </c>
      <c r="G41" s="73">
        <v>1</v>
      </c>
      <c r="H41" s="73">
        <v>1</v>
      </c>
    </row>
    <row r="42" spans="1:8" x14ac:dyDescent="0.25">
      <c r="A42" s="67">
        <v>39</v>
      </c>
      <c r="B42" s="73">
        <v>12000306</v>
      </c>
      <c r="C42" s="74" t="s">
        <v>151</v>
      </c>
      <c r="D42" s="73">
        <v>3</v>
      </c>
      <c r="E42" s="73">
        <v>3</v>
      </c>
      <c r="F42" s="73">
        <v>2</v>
      </c>
      <c r="G42" s="73">
        <v>3</v>
      </c>
      <c r="H42" s="73">
        <v>1</v>
      </c>
    </row>
    <row r="43" spans="1:8" x14ac:dyDescent="0.25">
      <c r="A43" s="67">
        <v>40</v>
      </c>
      <c r="B43" s="73">
        <v>12001118</v>
      </c>
      <c r="C43" s="74" t="s">
        <v>152</v>
      </c>
      <c r="D43" s="73">
        <v>3</v>
      </c>
      <c r="E43" s="73">
        <v>2</v>
      </c>
      <c r="F43" s="73">
        <v>3</v>
      </c>
      <c r="G43" s="73">
        <v>2</v>
      </c>
      <c r="H43" s="73">
        <v>3</v>
      </c>
    </row>
    <row r="44" spans="1:8" x14ac:dyDescent="0.25">
      <c r="A44" s="67">
        <v>41</v>
      </c>
      <c r="B44" s="73">
        <v>12101384</v>
      </c>
      <c r="C44" s="74" t="s">
        <v>153</v>
      </c>
      <c r="D44" s="73">
        <v>2</v>
      </c>
      <c r="E44" s="73">
        <v>2</v>
      </c>
      <c r="F44" s="73">
        <v>2</v>
      </c>
      <c r="G44" s="73">
        <v>2</v>
      </c>
      <c r="H44" s="73">
        <v>1</v>
      </c>
    </row>
    <row r="45" spans="1:8" x14ac:dyDescent="0.25">
      <c r="A45" s="67">
        <v>42</v>
      </c>
      <c r="B45" s="73">
        <v>12000396</v>
      </c>
      <c r="C45" s="74" t="s">
        <v>48</v>
      </c>
      <c r="D45" s="73">
        <v>3</v>
      </c>
      <c r="E45" s="73">
        <v>3</v>
      </c>
      <c r="F45" s="73">
        <v>3</v>
      </c>
      <c r="G45" s="73">
        <v>3</v>
      </c>
      <c r="H45" s="73">
        <v>3</v>
      </c>
    </row>
    <row r="46" spans="1:8" x14ac:dyDescent="0.25">
      <c r="A46" s="67">
        <v>43</v>
      </c>
      <c r="B46" s="73">
        <v>12000914</v>
      </c>
      <c r="C46" s="74" t="s">
        <v>154</v>
      </c>
      <c r="D46" s="73">
        <v>2</v>
      </c>
      <c r="E46" s="73">
        <v>2</v>
      </c>
      <c r="F46" s="73">
        <v>2</v>
      </c>
      <c r="G46" s="73">
        <v>2</v>
      </c>
      <c r="H46" s="73">
        <v>1</v>
      </c>
    </row>
    <row r="47" spans="1:8" x14ac:dyDescent="0.25">
      <c r="A47" s="67">
        <v>44</v>
      </c>
      <c r="B47" s="73">
        <v>12001296</v>
      </c>
      <c r="C47" s="74" t="s">
        <v>155</v>
      </c>
      <c r="D47" s="73">
        <v>2</v>
      </c>
      <c r="E47" s="73">
        <v>3</v>
      </c>
      <c r="F47" s="73">
        <v>2</v>
      </c>
      <c r="G47" s="73">
        <v>3</v>
      </c>
      <c r="H47" s="73">
        <v>3</v>
      </c>
    </row>
    <row r="48" spans="1:8" x14ac:dyDescent="0.25">
      <c r="A48" s="67">
        <v>45</v>
      </c>
      <c r="B48" s="73">
        <v>12000486</v>
      </c>
      <c r="C48" s="74" t="s">
        <v>156</v>
      </c>
      <c r="D48" s="73">
        <v>3</v>
      </c>
      <c r="E48" s="73">
        <v>2</v>
      </c>
      <c r="F48" s="73">
        <v>3</v>
      </c>
      <c r="G48" s="73">
        <v>3</v>
      </c>
      <c r="H48" s="73">
        <v>3</v>
      </c>
    </row>
    <row r="49" spans="1:8" x14ac:dyDescent="0.25">
      <c r="A49" s="67">
        <v>46</v>
      </c>
      <c r="B49" s="73">
        <v>12000502</v>
      </c>
      <c r="C49" s="74" t="s">
        <v>157</v>
      </c>
      <c r="D49" s="73">
        <v>2</v>
      </c>
      <c r="E49" s="73">
        <v>2</v>
      </c>
      <c r="F49" s="73">
        <v>2</v>
      </c>
      <c r="G49" s="73">
        <v>2</v>
      </c>
      <c r="H49" s="73">
        <v>2</v>
      </c>
    </row>
    <row r="50" spans="1:8" x14ac:dyDescent="0.25">
      <c r="A50" s="67">
        <v>47</v>
      </c>
      <c r="B50" s="73">
        <v>12000517</v>
      </c>
      <c r="C50" s="74" t="s">
        <v>158</v>
      </c>
      <c r="D50" s="73">
        <v>2</v>
      </c>
      <c r="E50" s="73">
        <v>2</v>
      </c>
      <c r="F50" s="73">
        <v>2</v>
      </c>
      <c r="G50" s="73">
        <v>2</v>
      </c>
      <c r="H50" s="73">
        <v>2</v>
      </c>
    </row>
    <row r="51" spans="1:8" x14ac:dyDescent="0.25">
      <c r="A51" s="67">
        <v>48</v>
      </c>
      <c r="B51" s="73">
        <v>12100372</v>
      </c>
      <c r="C51" s="74" t="s">
        <v>159</v>
      </c>
      <c r="D51" s="73">
        <v>3</v>
      </c>
      <c r="E51" s="73">
        <v>2</v>
      </c>
      <c r="F51" s="73">
        <v>3</v>
      </c>
      <c r="G51" s="73">
        <v>3</v>
      </c>
      <c r="H51" s="73">
        <v>3</v>
      </c>
    </row>
    <row r="52" spans="1:8" x14ac:dyDescent="0.25">
      <c r="A52" s="67">
        <v>49</v>
      </c>
      <c r="B52" s="73">
        <v>12001210</v>
      </c>
      <c r="C52" s="74" t="s">
        <v>160</v>
      </c>
      <c r="D52" s="73">
        <v>3</v>
      </c>
      <c r="E52" s="73">
        <v>2</v>
      </c>
      <c r="F52" s="73">
        <v>2</v>
      </c>
      <c r="G52" s="73">
        <v>3</v>
      </c>
      <c r="H52" s="73">
        <v>2</v>
      </c>
    </row>
    <row r="53" spans="1:8" x14ac:dyDescent="0.25">
      <c r="A53" s="67">
        <v>50</v>
      </c>
      <c r="B53" s="73">
        <v>12000835</v>
      </c>
      <c r="C53" s="74" t="s">
        <v>161</v>
      </c>
      <c r="D53" s="73">
        <v>3</v>
      </c>
      <c r="E53" s="73">
        <v>2</v>
      </c>
      <c r="F53" s="73">
        <v>3</v>
      </c>
      <c r="G53" s="73">
        <v>1</v>
      </c>
      <c r="H53" s="73">
        <v>3</v>
      </c>
    </row>
    <row r="54" spans="1:8" x14ac:dyDescent="0.25">
      <c r="A54" s="67">
        <v>51</v>
      </c>
      <c r="B54" s="73">
        <v>12001190</v>
      </c>
      <c r="C54" s="74" t="s">
        <v>162</v>
      </c>
      <c r="D54" s="73">
        <v>3</v>
      </c>
      <c r="E54" s="73">
        <v>3</v>
      </c>
      <c r="F54" s="73">
        <v>3</v>
      </c>
      <c r="G54" s="73">
        <v>3</v>
      </c>
      <c r="H54" s="73">
        <v>3</v>
      </c>
    </row>
    <row r="55" spans="1:8" x14ac:dyDescent="0.25">
      <c r="A55" s="67">
        <v>52</v>
      </c>
      <c r="B55" s="73">
        <v>12000779</v>
      </c>
      <c r="C55" s="74" t="s">
        <v>163</v>
      </c>
      <c r="D55" s="73">
        <v>2</v>
      </c>
      <c r="E55" s="73">
        <v>3</v>
      </c>
      <c r="F55" s="73">
        <v>1</v>
      </c>
      <c r="G55" s="73">
        <v>2</v>
      </c>
      <c r="H55" s="73">
        <v>3</v>
      </c>
    </row>
    <row r="56" spans="1:8" x14ac:dyDescent="0.25">
      <c r="A56" s="67">
        <v>53</v>
      </c>
      <c r="B56" s="73">
        <v>12000940</v>
      </c>
      <c r="C56" s="74" t="s">
        <v>164</v>
      </c>
      <c r="D56" s="73">
        <v>3</v>
      </c>
      <c r="E56" s="73">
        <v>3</v>
      </c>
      <c r="F56" s="73">
        <v>3</v>
      </c>
      <c r="G56" s="73">
        <v>3</v>
      </c>
      <c r="H56" s="73">
        <v>3</v>
      </c>
    </row>
    <row r="57" spans="1:8" x14ac:dyDescent="0.25">
      <c r="A57" s="67">
        <v>54</v>
      </c>
      <c r="B57" s="73">
        <v>12001142</v>
      </c>
      <c r="C57" s="74" t="s">
        <v>165</v>
      </c>
      <c r="D57" s="73">
        <v>3</v>
      </c>
      <c r="E57" s="73">
        <v>2</v>
      </c>
      <c r="F57" s="73">
        <v>2</v>
      </c>
      <c r="G57" s="73">
        <v>3</v>
      </c>
      <c r="H57" s="73">
        <v>3</v>
      </c>
    </row>
    <row r="58" spans="1:8" x14ac:dyDescent="0.25">
      <c r="A58" s="67">
        <v>55</v>
      </c>
      <c r="B58" s="73">
        <v>12000833</v>
      </c>
      <c r="C58" s="74" t="s">
        <v>166</v>
      </c>
      <c r="D58" s="73">
        <v>2</v>
      </c>
      <c r="E58" s="73">
        <v>2</v>
      </c>
      <c r="F58" s="73">
        <v>2</v>
      </c>
      <c r="G58" s="73">
        <v>2</v>
      </c>
      <c r="H58" s="73">
        <v>2</v>
      </c>
    </row>
    <row r="60" spans="1:8" x14ac:dyDescent="0.25">
      <c r="D60">
        <f>AVERAGE(D4:D58)</f>
        <v>2.6727272727272728</v>
      </c>
      <c r="E60">
        <f>AVERAGE(E4:E58)</f>
        <v>2.418181818181818</v>
      </c>
      <c r="F60">
        <f t="shared" ref="F60:H60" si="0">AVERAGE(F4:F58)</f>
        <v>2.4727272727272727</v>
      </c>
      <c r="G60">
        <f t="shared" si="0"/>
        <v>2.4545454545454546</v>
      </c>
      <c r="H60">
        <f t="shared" si="0"/>
        <v>2.5272727272727273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python</vt:lpstr>
      <vt:lpstr>CO-attainment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2023-02-05T10:32:03Z</dcterms:created>
  <dcterms:modified xsi:type="dcterms:W3CDTF">2024-06-11T09:58:27Z</dcterms:modified>
</cp:coreProperties>
</file>